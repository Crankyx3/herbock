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Andreas Bolich\SynologyDrive\#2_Aufgaben\14_GS Groß Berkel\3.TR\"/>
    </mc:Choice>
  </mc:AlternateContent>
  <xr:revisionPtr revIDLastSave="0" documentId="13_ncr:1_{3252FBC6-4604-4191-A4C6-096DA00178F4}" xr6:coauthVersionLast="47" xr6:coauthVersionMax="47" xr10:uidLastSave="{00000000-0000-0000-0000-000000000000}"/>
  <bookViews>
    <workbookView xWindow="-120" yWindow="-120" windowWidth="38640" windowHeight="21120" tabRatio="526" activeTab="3" xr2:uid="{39A0FFF0-211C-47D0-93BF-E6CCAD9C849F}"/>
  </bookViews>
  <sheets>
    <sheet name="bestelltes Materiall" sheetId="16" r:id="rId1"/>
    <sheet name="Leistungsverzeichnis" sheetId="9" r:id="rId2"/>
    <sheet name="Kabel" sheetId="10" r:id="rId3"/>
    <sheet name="TR.3 Kabel 1.OG Teil 1" sheetId="11" r:id="rId4"/>
    <sheet name="TR.3 1.OG Kabel Teil 2" sheetId="13" r:id="rId5"/>
  </sheets>
  <definedNames>
    <definedName name="_xlnm._FilterDatabase" localSheetId="0" hidden="1">'bestelltes Materiall'!$A$2:$E$60</definedName>
    <definedName name="_xlnm._FilterDatabase" localSheetId="1" hidden="1">Leistungsverzeichnis!$A$1:$I$767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6" l="1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595" i="9"/>
  <c r="I595" i="9"/>
  <c r="I593" i="9" l="1"/>
  <c r="H553" i="9" l="1"/>
  <c r="H554" i="9"/>
  <c r="H555" i="9"/>
  <c r="H556" i="9"/>
  <c r="H558" i="9"/>
  <c r="H559" i="9"/>
  <c r="H560" i="9"/>
  <c r="H563" i="9"/>
  <c r="H566" i="9"/>
  <c r="H567" i="9"/>
  <c r="H568" i="9"/>
  <c r="H569" i="9"/>
  <c r="H570" i="9"/>
  <c r="H571" i="9"/>
  <c r="H575" i="9"/>
  <c r="H576" i="9"/>
  <c r="H577" i="9"/>
  <c r="H578" i="9"/>
  <c r="H579" i="9"/>
  <c r="H580" i="9"/>
  <c r="H582" i="9"/>
  <c r="H583" i="9"/>
  <c r="H584" i="9"/>
  <c r="H585" i="9"/>
  <c r="H586" i="9"/>
  <c r="H587" i="9"/>
  <c r="H588" i="9"/>
  <c r="H589" i="9"/>
  <c r="H552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1" i="9"/>
  <c r="H542" i="9"/>
  <c r="H544" i="9"/>
  <c r="H545" i="9"/>
  <c r="H546" i="9"/>
  <c r="H547" i="9"/>
  <c r="H548" i="9"/>
  <c r="H527" i="9"/>
  <c r="H299" i="9"/>
  <c r="H300" i="9"/>
  <c r="H301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7" i="9"/>
  <c r="H338" i="9"/>
  <c r="H339" i="9"/>
  <c r="H340" i="9"/>
  <c r="H341" i="9"/>
  <c r="H342" i="9"/>
  <c r="H343" i="9"/>
  <c r="H344" i="9"/>
  <c r="H346" i="9"/>
  <c r="H347" i="9"/>
  <c r="H348" i="9"/>
  <c r="H350" i="9"/>
  <c r="H351" i="9"/>
  <c r="H352" i="9"/>
  <c r="H353" i="9"/>
  <c r="H354" i="9"/>
  <c r="H355" i="9"/>
  <c r="H356" i="9"/>
  <c r="H357" i="9"/>
  <c r="H358" i="9"/>
  <c r="H359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6" i="9"/>
  <c r="H377" i="9"/>
  <c r="H378" i="9"/>
  <c r="H379" i="9"/>
  <c r="H380" i="9"/>
  <c r="H382" i="9"/>
  <c r="H383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1" i="9"/>
  <c r="H403" i="9"/>
  <c r="H404" i="9"/>
  <c r="H405" i="9"/>
  <c r="H406" i="9"/>
  <c r="H407" i="9"/>
  <c r="H408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6" i="9"/>
  <c r="H497" i="9"/>
  <c r="H498" i="9"/>
  <c r="H499" i="9"/>
  <c r="H500" i="9"/>
  <c r="H501" i="9"/>
  <c r="H502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297" i="9"/>
  <c r="H277" i="9"/>
  <c r="H280" i="9"/>
  <c r="H281" i="9"/>
  <c r="H282" i="9"/>
  <c r="H285" i="9"/>
  <c r="H287" i="9"/>
  <c r="H290" i="9"/>
  <c r="H291" i="9"/>
  <c r="H292" i="9"/>
  <c r="H293" i="9"/>
  <c r="H276" i="9"/>
  <c r="H268" i="9"/>
  <c r="H269" i="9"/>
  <c r="H271" i="9"/>
  <c r="H272" i="9"/>
  <c r="H267" i="9"/>
  <c r="H238" i="9"/>
  <c r="H239" i="9"/>
  <c r="H240" i="9"/>
  <c r="H241" i="9"/>
  <c r="H242" i="9"/>
  <c r="H243" i="9"/>
  <c r="H244" i="9"/>
  <c r="H245" i="9"/>
  <c r="H246" i="9"/>
  <c r="H247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37" i="9"/>
  <c r="H90" i="9"/>
  <c r="H92" i="9"/>
  <c r="H93" i="9"/>
  <c r="H94" i="9"/>
  <c r="H95" i="9"/>
  <c r="H97" i="9"/>
  <c r="H98" i="9"/>
  <c r="H99" i="9"/>
  <c r="H100" i="9"/>
  <c r="H101" i="9"/>
  <c r="H102" i="9"/>
  <c r="H103" i="9"/>
  <c r="H104" i="9"/>
  <c r="H106" i="9"/>
  <c r="H107" i="9"/>
  <c r="H108" i="9"/>
  <c r="H109" i="9"/>
  <c r="H110" i="9"/>
  <c r="H111" i="9"/>
  <c r="H112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7" i="9"/>
  <c r="H128" i="9"/>
  <c r="H129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9" i="9"/>
  <c r="H230" i="9"/>
  <c r="H231" i="9"/>
  <c r="H232" i="9"/>
  <c r="H233" i="9"/>
  <c r="H234" i="9"/>
  <c r="H88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9" i="9"/>
  <c r="H70" i="9"/>
  <c r="H71" i="9"/>
  <c r="H72" i="9"/>
  <c r="H73" i="9"/>
  <c r="H74" i="9"/>
  <c r="H75" i="9"/>
  <c r="H76" i="9"/>
  <c r="H78" i="9"/>
  <c r="H79" i="9"/>
  <c r="H80" i="9"/>
  <c r="H81" i="9"/>
  <c r="H82" i="9"/>
  <c r="H83" i="9"/>
  <c r="H84" i="9"/>
  <c r="H41" i="9"/>
  <c r="H42" i="9"/>
  <c r="H43" i="9"/>
  <c r="H40" i="9"/>
  <c r="H11" i="9"/>
  <c r="H12" i="9"/>
  <c r="H13" i="9"/>
  <c r="H14" i="9"/>
  <c r="H16" i="9"/>
  <c r="H17" i="9"/>
  <c r="H18" i="9"/>
  <c r="H20" i="9"/>
  <c r="H21" i="9"/>
  <c r="H22" i="9"/>
  <c r="H23" i="9"/>
  <c r="H24" i="9"/>
  <c r="H25" i="9"/>
  <c r="H26" i="9"/>
  <c r="H27" i="9"/>
  <c r="H28" i="9"/>
  <c r="H29" i="9"/>
  <c r="H31" i="9"/>
  <c r="H32" i="9"/>
  <c r="H33" i="9"/>
  <c r="H34" i="9"/>
  <c r="H35" i="9"/>
  <c r="H36" i="9"/>
  <c r="H37" i="9"/>
  <c r="H1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6" i="10"/>
  <c r="I27" i="10"/>
  <c r="I28" i="10"/>
  <c r="I29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I25" i="10" s="1"/>
  <c r="H26" i="10"/>
  <c r="H27" i="10"/>
  <c r="H28" i="10"/>
  <c r="H29" i="10"/>
  <c r="AT9" i="13"/>
  <c r="AT8" i="13" s="1"/>
  <c r="AS9" i="13"/>
  <c r="AS8" i="13" s="1"/>
  <c r="AR9" i="13"/>
  <c r="AR8" i="13" s="1"/>
  <c r="AU3" i="13"/>
  <c r="AU2" i="13"/>
  <c r="AU3" i="11"/>
  <c r="AU2" i="11"/>
  <c r="AT9" i="11"/>
  <c r="AT8" i="11" s="1"/>
  <c r="AS9" i="11"/>
  <c r="AS8" i="11" s="1"/>
  <c r="AR9" i="11"/>
  <c r="AZ3" i="13"/>
  <c r="AZ2" i="13"/>
  <c r="AZ3" i="11"/>
  <c r="AZ2" i="11"/>
  <c r="AZ9" i="13"/>
  <c r="AZ8" i="13" s="1"/>
  <c r="AH9" i="13"/>
  <c r="AH8" i="13" s="1"/>
  <c r="AG9" i="13"/>
  <c r="AG8" i="13" s="1"/>
  <c r="AF9" i="13"/>
  <c r="AF8" i="13" s="1"/>
  <c r="AI3" i="13"/>
  <c r="AI2" i="13"/>
  <c r="AI3" i="11"/>
  <c r="AI2" i="11"/>
  <c r="AH9" i="11"/>
  <c r="AH8" i="11" s="1"/>
  <c r="AG9" i="11"/>
  <c r="AG8" i="11" s="1"/>
  <c r="AF9" i="11"/>
  <c r="AZ9" i="11"/>
  <c r="W3" i="13"/>
  <c r="W2" i="13"/>
  <c r="N9" i="13"/>
  <c r="N8" i="13" s="1"/>
  <c r="M9" i="13"/>
  <c r="M8" i="13" s="1"/>
  <c r="L9" i="13"/>
  <c r="O3" i="13"/>
  <c r="O2" i="13"/>
  <c r="O3" i="11"/>
  <c r="O2" i="11"/>
  <c r="N9" i="11"/>
  <c r="N8" i="11" s="1"/>
  <c r="M9" i="11"/>
  <c r="M8" i="11" s="1"/>
  <c r="L9" i="11"/>
  <c r="AU9" i="11" l="1"/>
  <c r="AI9" i="11"/>
  <c r="AU9" i="13"/>
  <c r="AR8" i="11"/>
  <c r="H273" i="9"/>
  <c r="H265" i="9"/>
  <c r="H294" i="9"/>
  <c r="H523" i="9"/>
  <c r="H235" i="9"/>
  <c r="H85" i="9"/>
  <c r="H38" i="9"/>
  <c r="H549" i="9"/>
  <c r="H8" i="9"/>
  <c r="AZ4" i="13"/>
  <c r="AZ4" i="11"/>
  <c r="AF8" i="11"/>
  <c r="O9" i="13"/>
  <c r="AI9" i="13"/>
  <c r="O9" i="11"/>
  <c r="L8" i="11"/>
  <c r="L8" i="13"/>
  <c r="AU4" i="11" l="1"/>
  <c r="AU4" i="13"/>
  <c r="O4" i="13"/>
  <c r="O4" i="11"/>
  <c r="H7" i="9"/>
  <c r="AI4" i="13"/>
  <c r="AI4" i="11"/>
  <c r="W3" i="11"/>
  <c r="AY2" i="13"/>
  <c r="AY2" i="11"/>
  <c r="W2" i="11"/>
  <c r="AQ3" i="13"/>
  <c r="AM3" i="13"/>
  <c r="AE3" i="13"/>
  <c r="AA3" i="13"/>
  <c r="S3" i="13"/>
  <c r="K3" i="13"/>
  <c r="G3" i="13"/>
  <c r="C3" i="13"/>
  <c r="AQ2" i="13"/>
  <c r="AM2" i="13"/>
  <c r="AE2" i="13"/>
  <c r="AA2" i="13"/>
  <c r="S2" i="13"/>
  <c r="K2" i="13"/>
  <c r="G2" i="13"/>
  <c r="C2" i="13"/>
  <c r="AQ3" i="11"/>
  <c r="AM3" i="11"/>
  <c r="AE3" i="11"/>
  <c r="AA3" i="11"/>
  <c r="S3" i="11"/>
  <c r="K3" i="11"/>
  <c r="G3" i="11"/>
  <c r="C3" i="11"/>
  <c r="AQ2" i="11"/>
  <c r="AM2" i="11"/>
  <c r="AE2" i="11"/>
  <c r="AA2" i="11"/>
  <c r="S2" i="11"/>
  <c r="K2" i="11"/>
  <c r="G2" i="11"/>
  <c r="C2" i="11"/>
  <c r="AV9" i="13" l="1"/>
  <c r="AV8" i="13" s="1"/>
  <c r="AW9" i="13"/>
  <c r="AW8" i="13" s="1"/>
  <c r="AX9" i="13"/>
  <c r="AX8" i="13" s="1"/>
  <c r="AP9" i="13"/>
  <c r="AP8" i="13" s="1"/>
  <c r="AO9" i="13"/>
  <c r="AO8" i="13" s="1"/>
  <c r="AN9" i="13"/>
  <c r="AL9" i="13"/>
  <c r="AL8" i="13" s="1"/>
  <c r="AK9" i="13"/>
  <c r="AK8" i="13" s="1"/>
  <c r="AJ9" i="13"/>
  <c r="AJ8" i="13" s="1"/>
  <c r="AD9" i="13"/>
  <c r="AD8" i="13" s="1"/>
  <c r="AC9" i="13"/>
  <c r="AC8" i="13" s="1"/>
  <c r="AB9" i="13"/>
  <c r="AB8" i="13" s="1"/>
  <c r="Z9" i="13"/>
  <c r="Z8" i="13" s="1"/>
  <c r="Y9" i="13"/>
  <c r="Y8" i="13" s="1"/>
  <c r="X9" i="13"/>
  <c r="V9" i="13"/>
  <c r="V8" i="13" s="1"/>
  <c r="U9" i="13"/>
  <c r="T9" i="13"/>
  <c r="T8" i="13" s="1"/>
  <c r="R9" i="13"/>
  <c r="R8" i="13" s="1"/>
  <c r="Q9" i="13"/>
  <c r="Q8" i="13" s="1"/>
  <c r="P9" i="13"/>
  <c r="P8" i="13" s="1"/>
  <c r="J9" i="13"/>
  <c r="J8" i="13" s="1"/>
  <c r="I9" i="13"/>
  <c r="I8" i="13" s="1"/>
  <c r="H9" i="13"/>
  <c r="H8" i="13" s="1"/>
  <c r="F9" i="13"/>
  <c r="F8" i="13" s="1"/>
  <c r="E9" i="13"/>
  <c r="E8" i="13" s="1"/>
  <c r="D9" i="13"/>
  <c r="D8" i="13" s="1"/>
  <c r="B9" i="13"/>
  <c r="C9" i="13" s="1"/>
  <c r="H9" i="11"/>
  <c r="H8" i="11" s="1"/>
  <c r="I9" i="11"/>
  <c r="I8" i="11" s="1"/>
  <c r="J9" i="11"/>
  <c r="J8" i="11" s="1"/>
  <c r="P9" i="11"/>
  <c r="P8" i="11" s="1"/>
  <c r="Q9" i="11"/>
  <c r="Q8" i="11" s="1"/>
  <c r="R9" i="11"/>
  <c r="R8" i="11" s="1"/>
  <c r="T9" i="11"/>
  <c r="T8" i="11" s="1"/>
  <c r="U9" i="11"/>
  <c r="U8" i="11" s="1"/>
  <c r="V9" i="11"/>
  <c r="V8" i="11" s="1"/>
  <c r="X9" i="11"/>
  <c r="X8" i="11" s="1"/>
  <c r="Y9" i="11"/>
  <c r="Y8" i="11" s="1"/>
  <c r="Z9" i="11"/>
  <c r="Z8" i="11" s="1"/>
  <c r="AB9" i="11"/>
  <c r="AB8" i="11" s="1"/>
  <c r="AC9" i="11"/>
  <c r="AC8" i="11" s="1"/>
  <c r="AD9" i="11"/>
  <c r="AD8" i="11" s="1"/>
  <c r="AJ9" i="11"/>
  <c r="AJ8" i="11" s="1"/>
  <c r="AK9" i="11"/>
  <c r="AK8" i="11" s="1"/>
  <c r="AL9" i="11"/>
  <c r="AL8" i="11" s="1"/>
  <c r="AN9" i="11"/>
  <c r="AN8" i="11" s="1"/>
  <c r="AO9" i="11"/>
  <c r="AO8" i="11" s="1"/>
  <c r="AP9" i="11"/>
  <c r="AP8" i="11" s="1"/>
  <c r="AV9" i="11"/>
  <c r="AV8" i="11" s="1"/>
  <c r="AW9" i="11"/>
  <c r="AW8" i="11" s="1"/>
  <c r="AX9" i="11"/>
  <c r="AX8" i="11" s="1"/>
  <c r="D9" i="11"/>
  <c r="D8" i="11" s="1"/>
  <c r="E9" i="11"/>
  <c r="E8" i="11" s="1"/>
  <c r="F9" i="11"/>
  <c r="F8" i="11" s="1"/>
  <c r="B9" i="11"/>
  <c r="B8" i="11" s="1"/>
  <c r="AN8" i="13" l="1"/>
  <c r="S9" i="13"/>
  <c r="K9" i="11"/>
  <c r="AE9" i="11"/>
  <c r="AQ9" i="11"/>
  <c r="AA9" i="13"/>
  <c r="AY9" i="13"/>
  <c r="X8" i="13"/>
  <c r="W9" i="13"/>
  <c r="C9" i="11"/>
  <c r="C4" i="11" s="1"/>
  <c r="AY9" i="11"/>
  <c r="W9" i="11"/>
  <c r="S9" i="11"/>
  <c r="AA9" i="11"/>
  <c r="AM9" i="11"/>
  <c r="AM9" i="13"/>
  <c r="G9" i="13"/>
  <c r="B8" i="13"/>
  <c r="K9" i="13"/>
  <c r="AQ9" i="13"/>
  <c r="U8" i="13"/>
  <c r="AE9" i="13"/>
  <c r="G9" i="11"/>
  <c r="H4" i="10"/>
  <c r="I4" i="10" s="1"/>
  <c r="I27" i="9"/>
  <c r="I10" i="9"/>
  <c r="I11" i="9"/>
  <c r="I12" i="9"/>
  <c r="I13" i="9"/>
  <c r="I14" i="9"/>
  <c r="I16" i="9"/>
  <c r="I17" i="9"/>
  <c r="I18" i="9"/>
  <c r="I20" i="9"/>
  <c r="I21" i="9"/>
  <c r="I22" i="9"/>
  <c r="I23" i="9"/>
  <c r="I24" i="9"/>
  <c r="I25" i="9"/>
  <c r="I26" i="9"/>
  <c r="I553" i="9"/>
  <c r="I554" i="9"/>
  <c r="I555" i="9"/>
  <c r="I556" i="9"/>
  <c r="I558" i="9"/>
  <c r="I559" i="9"/>
  <c r="I560" i="9"/>
  <c r="I563" i="9"/>
  <c r="I566" i="9"/>
  <c r="I567" i="9"/>
  <c r="I568" i="9"/>
  <c r="I569" i="9"/>
  <c r="I570" i="9"/>
  <c r="I571" i="9"/>
  <c r="I575" i="9"/>
  <c r="I576" i="9"/>
  <c r="I577" i="9"/>
  <c r="I578" i="9"/>
  <c r="I579" i="9"/>
  <c r="I580" i="9"/>
  <c r="I582" i="9"/>
  <c r="I583" i="9"/>
  <c r="I584" i="9"/>
  <c r="I585" i="9"/>
  <c r="I586" i="9"/>
  <c r="I587" i="9"/>
  <c r="I588" i="9"/>
  <c r="I589" i="9"/>
  <c r="I552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1" i="9"/>
  <c r="I542" i="9"/>
  <c r="I544" i="9"/>
  <c r="I545" i="9"/>
  <c r="I546" i="9"/>
  <c r="I547" i="9"/>
  <c r="I548" i="9"/>
  <c r="I527" i="9"/>
  <c r="I299" i="9"/>
  <c r="I300" i="9"/>
  <c r="I301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7" i="9"/>
  <c r="I338" i="9"/>
  <c r="I339" i="9"/>
  <c r="I340" i="9"/>
  <c r="I341" i="9"/>
  <c r="I342" i="9"/>
  <c r="I343" i="9"/>
  <c r="I344" i="9"/>
  <c r="I346" i="9"/>
  <c r="I347" i="9"/>
  <c r="I348" i="9"/>
  <c r="I350" i="9"/>
  <c r="I351" i="9"/>
  <c r="I352" i="9"/>
  <c r="I353" i="9"/>
  <c r="I354" i="9"/>
  <c r="I355" i="9"/>
  <c r="I356" i="9"/>
  <c r="I357" i="9"/>
  <c r="I358" i="9"/>
  <c r="I359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6" i="9"/>
  <c r="I377" i="9"/>
  <c r="I378" i="9"/>
  <c r="I379" i="9"/>
  <c r="I380" i="9"/>
  <c r="I382" i="9"/>
  <c r="I383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1" i="9"/>
  <c r="I403" i="9"/>
  <c r="I404" i="9"/>
  <c r="I405" i="9"/>
  <c r="I406" i="9"/>
  <c r="I407" i="9"/>
  <c r="I408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6" i="9"/>
  <c r="I497" i="9"/>
  <c r="I498" i="9"/>
  <c r="I499" i="9"/>
  <c r="I500" i="9"/>
  <c r="I501" i="9"/>
  <c r="I502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297" i="9"/>
  <c r="I277" i="9"/>
  <c r="I280" i="9"/>
  <c r="I281" i="9"/>
  <c r="I282" i="9"/>
  <c r="I285" i="9"/>
  <c r="I287" i="9"/>
  <c r="I290" i="9"/>
  <c r="I291" i="9"/>
  <c r="I292" i="9"/>
  <c r="I293" i="9"/>
  <c r="I276" i="9"/>
  <c r="I268" i="9"/>
  <c r="I269" i="9"/>
  <c r="I271" i="9"/>
  <c r="I272" i="9"/>
  <c r="I267" i="9"/>
  <c r="I238" i="9"/>
  <c r="I239" i="9"/>
  <c r="I240" i="9"/>
  <c r="I241" i="9"/>
  <c r="I242" i="9"/>
  <c r="I243" i="9"/>
  <c r="I244" i="9"/>
  <c r="I245" i="9"/>
  <c r="I246" i="9"/>
  <c r="I247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37" i="9"/>
  <c r="I90" i="9"/>
  <c r="I92" i="9"/>
  <c r="I93" i="9"/>
  <c r="I94" i="9"/>
  <c r="I95" i="9"/>
  <c r="I97" i="9"/>
  <c r="I98" i="9"/>
  <c r="I99" i="9"/>
  <c r="I100" i="9"/>
  <c r="I101" i="9"/>
  <c r="I102" i="9"/>
  <c r="I103" i="9"/>
  <c r="I104" i="9"/>
  <c r="I106" i="9"/>
  <c r="I107" i="9"/>
  <c r="I108" i="9"/>
  <c r="I109" i="9"/>
  <c r="I110" i="9"/>
  <c r="I111" i="9"/>
  <c r="I112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7" i="9"/>
  <c r="I128" i="9"/>
  <c r="I129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9" i="9"/>
  <c r="I230" i="9"/>
  <c r="I231" i="9"/>
  <c r="I232" i="9"/>
  <c r="I233" i="9"/>
  <c r="I234" i="9"/>
  <c r="I88" i="9"/>
  <c r="I84" i="9"/>
  <c r="I69" i="9"/>
  <c r="I70" i="9"/>
  <c r="I71" i="9"/>
  <c r="I72" i="9"/>
  <c r="I73" i="9"/>
  <c r="I74" i="9"/>
  <c r="I75" i="9"/>
  <c r="I76" i="9"/>
  <c r="I78" i="9"/>
  <c r="I79" i="9"/>
  <c r="I80" i="9"/>
  <c r="I81" i="9"/>
  <c r="I82" i="9"/>
  <c r="I83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28" i="9"/>
  <c r="I29" i="9"/>
  <c r="I31" i="9"/>
  <c r="I32" i="9"/>
  <c r="I33" i="9"/>
  <c r="I34" i="9"/>
  <c r="I35" i="9"/>
  <c r="I36" i="9"/>
  <c r="I37" i="9"/>
  <c r="I40" i="9"/>
  <c r="I41" i="9"/>
  <c r="I42" i="9"/>
  <c r="I43" i="9"/>
  <c r="A8" i="13" l="1"/>
  <c r="W4" i="11"/>
  <c r="C4" i="13"/>
  <c r="AM4" i="13"/>
  <c r="AM4" i="11"/>
  <c r="AQ4" i="13"/>
  <c r="AQ4" i="11"/>
  <c r="W4" i="13"/>
  <c r="AY4" i="13"/>
  <c r="AY4" i="11"/>
  <c r="AE4" i="13"/>
  <c r="AE4" i="11"/>
  <c r="K4" i="13"/>
  <c r="K4" i="11"/>
  <c r="S4" i="11"/>
  <c r="S4" i="13"/>
  <c r="AA4" i="13"/>
  <c r="AA4" i="11"/>
  <c r="G4" i="11"/>
  <c r="G4" i="13"/>
  <c r="H34" i="10"/>
  <c r="I34" i="10"/>
  <c r="I549" i="9"/>
  <c r="I265" i="9"/>
  <c r="I294" i="9"/>
  <c r="I523" i="9"/>
  <c r="I273" i="9"/>
  <c r="I235" i="9"/>
  <c r="I85" i="9"/>
  <c r="I38" i="9"/>
  <c r="I8" i="9"/>
  <c r="I7" i="9" l="1"/>
  <c r="AZ8" i="11"/>
  <c r="A8" i="11" s="1"/>
  <c r="H37" i="10" s="1"/>
</calcChain>
</file>

<file path=xl/sharedStrings.xml><?xml version="1.0" encoding="utf-8"?>
<sst xmlns="http://schemas.openxmlformats.org/spreadsheetml/2006/main" count="3177" uniqueCount="1547">
  <si>
    <t>m</t>
  </si>
  <si>
    <t>Sammelhalter Metall 15 Ltg.</t>
  </si>
  <si>
    <t>Sammelhalter Kunststoff 10</t>
  </si>
  <si>
    <t>Sammelhalter Kunststoff 20</t>
  </si>
  <si>
    <t>Sammelhalter Kunststoff 40</t>
  </si>
  <si>
    <t xml:space="preserve"> 1. 3. 2.  50</t>
  </si>
  <si>
    <t>St</t>
  </si>
  <si>
    <t>Kabelrinne 200x60</t>
  </si>
  <si>
    <t>Kabelrinne 300x60</t>
  </si>
  <si>
    <t>Kabelrinne 400x60</t>
  </si>
  <si>
    <t xml:space="preserve"> 1. 3. 2. 160</t>
  </si>
  <si>
    <t xml:space="preserve"> 1. 3. 2. 170</t>
  </si>
  <si>
    <t xml:space="preserve"> 1. 3. 2. 180</t>
  </si>
  <si>
    <t xml:space="preserve"> 1. 3. 2. 190</t>
  </si>
  <si>
    <t xml:space="preserve"> 1. 3. 2. 200</t>
  </si>
  <si>
    <t xml:space="preserve"> 1. 3. 2. 210</t>
  </si>
  <si>
    <t xml:space="preserve"> 1. 3. 2. 220</t>
  </si>
  <si>
    <t xml:space="preserve"> 1. 3. 2. 230</t>
  </si>
  <si>
    <t xml:space="preserve"> 1. 3. 2. 240</t>
  </si>
  <si>
    <t>Ausleger 200 mm</t>
  </si>
  <si>
    <t>Ausleger 300 mm</t>
  </si>
  <si>
    <t>Ausleger 400 mm</t>
  </si>
  <si>
    <t>Formstück 200 mm</t>
  </si>
  <si>
    <t>Formstück 300 mm</t>
  </si>
  <si>
    <t>Formstück 400 mm</t>
  </si>
  <si>
    <t xml:space="preserve"> 1. 3. 2. 290</t>
  </si>
  <si>
    <t>Elektroinstallationsrohr Kunststoff AD 25 mm AP</t>
  </si>
  <si>
    <t xml:space="preserve"> 1. 3. 4. 250</t>
  </si>
  <si>
    <t>APFR Abzweigkasten</t>
  </si>
  <si>
    <t xml:space="preserve"> 1. 6. 3.  10</t>
  </si>
  <si>
    <t>Bohrungen bis Ø 50mm in Mauerwerk</t>
  </si>
  <si>
    <t>Anschluss Jalousie</t>
  </si>
  <si>
    <t xml:space="preserve"> 4. 1. 2.  10</t>
  </si>
  <si>
    <t>Baubeleuchtung</t>
  </si>
  <si>
    <t xml:space="preserve"> 4. 1. 2.  20</t>
  </si>
  <si>
    <t>Gummischlauchleitung H07RN-F 5G1,5</t>
  </si>
  <si>
    <t xml:space="preserve"> 1. 1. 1.  10</t>
  </si>
  <si>
    <t>Photovoltaikmodul</t>
  </si>
  <si>
    <t>Aufdachmontagesystem in Alu schwarz</t>
  </si>
  <si>
    <t>DC-Kabel rot 6 mm²</t>
  </si>
  <si>
    <t>DC Kabel schwarz 6 mm²</t>
  </si>
  <si>
    <t>Anlagenerdung</t>
  </si>
  <si>
    <t xml:space="preserve"> 1. 1. 1.  70</t>
  </si>
  <si>
    <t xml:space="preserve"> 1. 1. 1.  80</t>
  </si>
  <si>
    <t>Single Rail 50</t>
  </si>
  <si>
    <t>1.1.1.55</t>
  </si>
  <si>
    <t>Schienenverbinder</t>
  </si>
  <si>
    <t>1.1.1.57</t>
  </si>
  <si>
    <t>Kreuzverbinder</t>
  </si>
  <si>
    <t>1.1.1.58</t>
  </si>
  <si>
    <t xml:space="preserve"> 1. 6. 2.  10</t>
  </si>
  <si>
    <t xml:space="preserve"> 1. 6. 2.  20</t>
  </si>
  <si>
    <t xml:space="preserve"> 1. 6. 2.  30</t>
  </si>
  <si>
    <t>Obermonteurstunden</t>
  </si>
  <si>
    <t>Monteurstunden</t>
  </si>
  <si>
    <t>Helferstunden</t>
  </si>
  <si>
    <t>h</t>
  </si>
  <si>
    <t>1.3.2.170</t>
  </si>
  <si>
    <t>Hängestiel 400mm</t>
  </si>
  <si>
    <t>Hängestiel 300mm</t>
  </si>
  <si>
    <t>1.3.2.272</t>
  </si>
  <si>
    <t>Ausleger 210 mm Funktionserhalt</t>
  </si>
  <si>
    <t>Ausleger 310 mm Funktionserhalt</t>
  </si>
  <si>
    <t>Ausleger 410 mm Funktionserhalt</t>
  </si>
  <si>
    <t>Gewindestange M10</t>
  </si>
  <si>
    <t>Hängestiel 700mm</t>
  </si>
  <si>
    <t>1.3.2.276</t>
  </si>
  <si>
    <t>1.3.2.278</t>
  </si>
  <si>
    <t>1.3.2.279</t>
  </si>
  <si>
    <t>1.3.2.279.0</t>
  </si>
  <si>
    <t>1.3.2.330</t>
  </si>
  <si>
    <t>Hängestiel U50/50 400mm</t>
  </si>
  <si>
    <t>Hängestiel U50/50 300mm</t>
  </si>
  <si>
    <t>Kabelrinne 400x60 Funktionserhalt</t>
  </si>
  <si>
    <t>Sammelhalter Metall 30 Ltg.</t>
  </si>
  <si>
    <t xml:space="preserve">Ausleger 500 mm </t>
  </si>
  <si>
    <t>1.3.2.350</t>
  </si>
  <si>
    <t>1.3.2.340</t>
  </si>
  <si>
    <t>1.3.2.360</t>
  </si>
  <si>
    <t>1.3.2.370</t>
  </si>
  <si>
    <t>1.3.2.380</t>
  </si>
  <si>
    <t>1.3.2.390</t>
  </si>
  <si>
    <t xml:space="preserve">Ausleger 600 mm </t>
  </si>
  <si>
    <t>1.3.2.400</t>
  </si>
  <si>
    <t xml:space="preserve">Kabelrinne 500x60 </t>
  </si>
  <si>
    <t>Formstück 500 mm</t>
  </si>
  <si>
    <t>1.3.2.410</t>
  </si>
  <si>
    <t>1.6.3.40</t>
  </si>
  <si>
    <t>Leitungsmanschette Ø 8-11 mm</t>
  </si>
  <si>
    <t>Leitungsmanschette Ø 15-22 mm</t>
  </si>
  <si>
    <t>1.6.3.50</t>
  </si>
  <si>
    <t>1.6.3.60</t>
  </si>
  <si>
    <t xml:space="preserve">Mehrfach Leitungsmanschette für 1 - 6 Leitungen bis Ø </t>
  </si>
  <si>
    <t>1.0 Allgemeine Vorbemerkungen</t>
  </si>
  <si>
    <t>2.0 Beschreibung der Elektrotechnischen Anlage</t>
  </si>
  <si>
    <t>3.0 Zusätzliche technische Vorbemerkungen (ZTV)</t>
  </si>
  <si>
    <t>EDV-Unterstützung</t>
  </si>
  <si>
    <t>Revisionsunterlagen</t>
  </si>
  <si>
    <t>KG 440 Starkstromanlagen</t>
  </si>
  <si>
    <t xml:space="preserve"> 1. 1</t>
  </si>
  <si>
    <t>KG 442 Eigenstromversorgungsanlagen</t>
  </si>
  <si>
    <t xml:space="preserve"> 1. 1. 1</t>
  </si>
  <si>
    <t>KG 442 PV-Anlage</t>
  </si>
  <si>
    <t>M-Manuell</t>
  </si>
  <si>
    <t xml:space="preserve"> 1. 1. 1.  20</t>
  </si>
  <si>
    <t xml:space="preserve"> 1. 1. 1.  30</t>
  </si>
  <si>
    <t>Wechselrichter 3phas. für vorgenannte Anlage</t>
  </si>
  <si>
    <t xml:space="preserve"> 1. 1. 1.  40</t>
  </si>
  <si>
    <t>Wechselrichter</t>
  </si>
  <si>
    <t xml:space="preserve"> 1. 1. 1.  50</t>
  </si>
  <si>
    <t>Batteriespeicher</t>
  </si>
  <si>
    <t>Kabel und Leitungsnetz</t>
  </si>
  <si>
    <t xml:space="preserve"> 1. 1. 1.  60</t>
  </si>
  <si>
    <t xml:space="preserve"> 1. 1. 1.  90</t>
  </si>
  <si>
    <t>Aluminiumrohr, schwer M 32</t>
  </si>
  <si>
    <t xml:space="preserve"> 1. 1. 1. 100</t>
  </si>
  <si>
    <t>Kunststoff-Stangenrohr M 32</t>
  </si>
  <si>
    <t xml:space="preserve"> 1. 1. 1. 110</t>
  </si>
  <si>
    <t>Kuststoff-Wellrohr schwarz 40mm</t>
  </si>
  <si>
    <t xml:space="preserve"> 1. 1. 1. 120</t>
  </si>
  <si>
    <t>Inst-Kanal 40x40</t>
  </si>
  <si>
    <t xml:space="preserve"> 1. 1. 1. 130</t>
  </si>
  <si>
    <t>Inst-Kanal 40x90</t>
  </si>
  <si>
    <t xml:space="preserve"> 1. 1. 1. 140</t>
  </si>
  <si>
    <t>Brandschutzkanal I90</t>
  </si>
  <si>
    <t xml:space="preserve"> 1. 1. 1. 150</t>
  </si>
  <si>
    <t xml:space="preserve"> 1. 1. 1. 160</t>
  </si>
  <si>
    <t>Ltg. NYM-J 5x6</t>
  </si>
  <si>
    <t xml:space="preserve"> 1. 1. 1. 170</t>
  </si>
  <si>
    <t>Ltg. NYM-J 5x35</t>
  </si>
  <si>
    <t xml:space="preserve"> 1. 1. 1. 180</t>
  </si>
  <si>
    <t>Kat.7 4x2xAWG23</t>
  </si>
  <si>
    <t>Sonstiges</t>
  </si>
  <si>
    <t xml:space="preserve"> 1. 1. 1. 190</t>
  </si>
  <si>
    <t>Generatoranschlusskasten für 2 Stränge je MPP</t>
  </si>
  <si>
    <t xml:space="preserve"> 1. 1. 1. 200</t>
  </si>
  <si>
    <t>Fernschalter</t>
  </si>
  <si>
    <t xml:space="preserve"> 1. 1. 1. 210</t>
  </si>
  <si>
    <t>Netz- und Anlagenschutz</t>
  </si>
  <si>
    <t xml:space="preserve"> 1. 1. 1. 220</t>
  </si>
  <si>
    <t>Antragsformalitäten</t>
  </si>
  <si>
    <t>psch</t>
  </si>
  <si>
    <t xml:space="preserve"> 1. 1. 1. 230</t>
  </si>
  <si>
    <t>Inbetriebnahme</t>
  </si>
  <si>
    <t xml:space="preserve"> 1. 1. 1. 240</t>
  </si>
  <si>
    <t>SmartMeter</t>
  </si>
  <si>
    <t xml:space="preserve"> 1. 1. 1. 250</t>
  </si>
  <si>
    <t>Wartung</t>
  </si>
  <si>
    <t xml:space="preserve"> 1. 2</t>
  </si>
  <si>
    <t>KG 443 Niederspannnungsschaltanlagen</t>
  </si>
  <si>
    <t xml:space="preserve"> 1. 2. 1</t>
  </si>
  <si>
    <t>KG 443 Verteilungen</t>
  </si>
  <si>
    <t xml:space="preserve"> 1. 2. 1.  10</t>
  </si>
  <si>
    <t>Niederspannungshauptverteilung</t>
  </si>
  <si>
    <t xml:space="preserve"> 1. 2. 1.  20</t>
  </si>
  <si>
    <t>Unterverteilung</t>
  </si>
  <si>
    <t xml:space="preserve"> 1. 2. 1.  30</t>
  </si>
  <si>
    <t xml:space="preserve"> 1. 2. 1.  40</t>
  </si>
  <si>
    <t>Abstimmung mit Netzbetreiber</t>
  </si>
  <si>
    <t xml:space="preserve"> 1. 2. 2</t>
  </si>
  <si>
    <t>KG 443 Einbaugeräte</t>
  </si>
  <si>
    <t>Reiheneinbaugeräte</t>
  </si>
  <si>
    <t xml:space="preserve"> 1. 2. 2.  10</t>
  </si>
  <si>
    <t>Hauptschalter 63 A</t>
  </si>
  <si>
    <t xml:space="preserve"> 1. 2. 2.  20</t>
  </si>
  <si>
    <t>Überspannungsableiter 4+0</t>
  </si>
  <si>
    <t xml:space="preserve"> 1. 2. 2.  30</t>
  </si>
  <si>
    <t>Leitungsschutzschalter B10 1p</t>
  </si>
  <si>
    <t xml:space="preserve"> 1. 2. 2.  40</t>
  </si>
  <si>
    <t>Leitungsschutzschalter B16 1p</t>
  </si>
  <si>
    <t xml:space="preserve"> 1. 2. 2.  50</t>
  </si>
  <si>
    <t>Leitungsschutzschalter B16 3p</t>
  </si>
  <si>
    <t xml:space="preserve"> 1. 2. 2.  60</t>
  </si>
  <si>
    <t>Fehlerstromschutzschalter 300 mA/40 A</t>
  </si>
  <si>
    <t xml:space="preserve"> 1. 2. 2.  70</t>
  </si>
  <si>
    <t>Fehlerstromschutzschalter 30 mA/40 A</t>
  </si>
  <si>
    <t xml:space="preserve"> 1. 2. 2.  80</t>
  </si>
  <si>
    <t>Fehlerstromschutzschalter 300 mA/63 A</t>
  </si>
  <si>
    <t xml:space="preserve"> 1. 2. 2.  90</t>
  </si>
  <si>
    <t>Fehlerstromschutzschalter 30 mA/63 A</t>
  </si>
  <si>
    <t xml:space="preserve"> 1. 2. 2. 100</t>
  </si>
  <si>
    <t>RCBO 1P+N B10 / 30 mA</t>
  </si>
  <si>
    <t xml:space="preserve"> 1. 2. 2. 110</t>
  </si>
  <si>
    <t>RCBO 1P+N B16 / 30 mA</t>
  </si>
  <si>
    <t xml:space="preserve"> 1. 2. 2. 120</t>
  </si>
  <si>
    <t>D02 Sicherungslasttrennschalter 6 A / 1-pol</t>
  </si>
  <si>
    <t xml:space="preserve"> 1. 2. 2. 130</t>
  </si>
  <si>
    <t>D02 Sicherungslasttrennschalter 35 A / 3-pol</t>
  </si>
  <si>
    <t xml:space="preserve"> 1. 2. 2. 140</t>
  </si>
  <si>
    <t>D02 Sicherungslasttrennschalter 50 A / 3-pol</t>
  </si>
  <si>
    <t xml:space="preserve"> 1. 2. 2. 150</t>
  </si>
  <si>
    <t>D02 Sicherungslasttrennschalter 63 A / 3-pol</t>
  </si>
  <si>
    <t xml:space="preserve"> 1. 2. 2. 160</t>
  </si>
  <si>
    <t>NH-Sicherungslasttrennschalter NH00</t>
  </si>
  <si>
    <t xml:space="preserve"> 1. 2. 2. 170</t>
  </si>
  <si>
    <t>NH-Sicherungslasttrennschalter NH2</t>
  </si>
  <si>
    <t xml:space="preserve"> 1. 2. 2. 180</t>
  </si>
  <si>
    <t>Stromstoßschalter 1S</t>
  </si>
  <si>
    <t xml:space="preserve"> 1. 2. 2. 190</t>
  </si>
  <si>
    <t>Stromstoßschalter, 4S, 4 Eingänge</t>
  </si>
  <si>
    <t xml:space="preserve"> 1. 2. 2. 200</t>
  </si>
  <si>
    <t>Steckdose 16 A REG</t>
  </si>
  <si>
    <t xml:space="preserve"> 1. 2. 2. 210</t>
  </si>
  <si>
    <t>Klingeltransformator</t>
  </si>
  <si>
    <t xml:space="preserve"> 1. 2. 2. 220</t>
  </si>
  <si>
    <t>Astro-Zeitschaltuhr 2-Kanal</t>
  </si>
  <si>
    <t>Klemmen</t>
  </si>
  <si>
    <t xml:space="preserve"> 1. 2. 2. 230</t>
  </si>
  <si>
    <t>Hauptleitungsabzweigklemme</t>
  </si>
  <si>
    <t xml:space="preserve"> 1. 2. 2. 240</t>
  </si>
  <si>
    <t>3-Stockklemme NT-L-PE / bis 4qmm</t>
  </si>
  <si>
    <t xml:space="preserve"> 1. 2. 2. 250</t>
  </si>
  <si>
    <t>2-Leiter Durchgangsklemme L-L</t>
  </si>
  <si>
    <t xml:space="preserve"> 1. 2. 2. 260</t>
  </si>
  <si>
    <t>N-Trennklemme / 16qmm</t>
  </si>
  <si>
    <t xml:space="preserve"> 1. 2. 2. 270</t>
  </si>
  <si>
    <t>Schutzleiterklemme / 16qmm</t>
  </si>
  <si>
    <t xml:space="preserve"> 1. 2. 2. 280</t>
  </si>
  <si>
    <t>Sammelschienenklemme / 10 qmm</t>
  </si>
  <si>
    <t xml:space="preserve"> 1. 2. 2. 290</t>
  </si>
  <si>
    <t>Sammelschienenklemme / 16 qmm</t>
  </si>
  <si>
    <t xml:space="preserve"> 1. 2. 2. 300</t>
  </si>
  <si>
    <t>Sammelschienenklemme / 70 qmm</t>
  </si>
  <si>
    <t xml:space="preserve"> 1. 2. 2. 310</t>
  </si>
  <si>
    <t>Messung</t>
  </si>
  <si>
    <t xml:space="preserve"> 1. 2. 2. 320</t>
  </si>
  <si>
    <t>Installationsschütz 2x20A</t>
  </si>
  <si>
    <t xml:space="preserve"> 1. 2. 2. 330</t>
  </si>
  <si>
    <t>Installationsschütz 4x25A</t>
  </si>
  <si>
    <t xml:space="preserve"> 1. 2. 2. 340</t>
  </si>
  <si>
    <t>Treppenlichtzeitschalter</t>
  </si>
  <si>
    <t xml:space="preserve"> 1. 2. 2. 350</t>
  </si>
  <si>
    <t>Reihenklemme 3-fach NTB</t>
  </si>
  <si>
    <t xml:space="preserve"> 1. 2. 2. 360</t>
  </si>
  <si>
    <t>Unterspannungswächter</t>
  </si>
  <si>
    <t xml:space="preserve"> 1. 2. 2. 370</t>
  </si>
  <si>
    <t>Lasttrennschalter 3x125A</t>
  </si>
  <si>
    <t xml:space="preserve"> 1. 3</t>
  </si>
  <si>
    <t>KG 444 Niederspannungsinstallationsanlagen</t>
  </si>
  <si>
    <t xml:space="preserve"> 1. 3. 1</t>
  </si>
  <si>
    <t>KG 444 - Zuleitungen</t>
  </si>
  <si>
    <t>Verlegung NYCWY</t>
  </si>
  <si>
    <t xml:space="preserve"> 1. 3. 1.  10</t>
  </si>
  <si>
    <t>NYCWY 4x150 sm/70</t>
  </si>
  <si>
    <t>Kabelenden NYCWY</t>
  </si>
  <si>
    <t xml:space="preserve"> 1. 3. 1.  20</t>
  </si>
  <si>
    <t>Kab-E NYCWY 4x150/75</t>
  </si>
  <si>
    <t>Verlg NYY-Steuerltg</t>
  </si>
  <si>
    <t xml:space="preserve"> 1. 3. 1.  30</t>
  </si>
  <si>
    <t>NYY-J 7x1,5</t>
  </si>
  <si>
    <t xml:space="preserve"> 1. 3. 1.  40</t>
  </si>
  <si>
    <t>NYCWY 4x35SM/ 16 Eca S</t>
  </si>
  <si>
    <t xml:space="preserve"> 1. 3. 1.  50</t>
  </si>
  <si>
    <t>NHXCH E90 4x 35RM/16 S</t>
  </si>
  <si>
    <t xml:space="preserve"> 1. 3. 1.  60</t>
  </si>
  <si>
    <t>NHXMH-J 5x10 Dca</t>
  </si>
  <si>
    <t xml:space="preserve"> 1. 3. 2</t>
  </si>
  <si>
    <t>KG 444 Verlegesysteme</t>
  </si>
  <si>
    <t xml:space="preserve"> 1. 3. 2.  10</t>
  </si>
  <si>
    <t>C-Profilschiene Wand-/Deckenbefestigung</t>
  </si>
  <si>
    <t xml:space="preserve"> 1. 3. 2.  20</t>
  </si>
  <si>
    <t>Bügelschellen bis 16 mm</t>
  </si>
  <si>
    <t xml:space="preserve"> 1. 3. 2.  30</t>
  </si>
  <si>
    <t>Bügelschellen bis 40 mm</t>
  </si>
  <si>
    <t xml:space="preserve"> 1. 3. 2.  40</t>
  </si>
  <si>
    <t>Bügelschellen bis 70 mm</t>
  </si>
  <si>
    <t xml:space="preserve"> 1. 3. 2.  60</t>
  </si>
  <si>
    <t xml:space="preserve"> 1. 3. 2.  70</t>
  </si>
  <si>
    <t xml:space="preserve"> 1. 3. 2.  80</t>
  </si>
  <si>
    <t>Kanäle</t>
  </si>
  <si>
    <t xml:space="preserve"> 1. 3. 2.  90</t>
  </si>
  <si>
    <t>Brüstungskanalunterteil</t>
  </si>
  <si>
    <t xml:space="preserve"> 1. 3. 2. 100</t>
  </si>
  <si>
    <t>Brüstungskanaloberteil</t>
  </si>
  <si>
    <t xml:space="preserve"> 1. 3. 2. 110</t>
  </si>
  <si>
    <t>Wandanschlussblende</t>
  </si>
  <si>
    <t xml:space="preserve"> 1. 3. 2. 120</t>
  </si>
  <si>
    <t>Sockelleistenkanal 20x115</t>
  </si>
  <si>
    <t xml:space="preserve"> 1. 3. 2. 130</t>
  </si>
  <si>
    <t>Leitungsführungskanal 30x30</t>
  </si>
  <si>
    <t xml:space="preserve"> 1. 3. 2. 140</t>
  </si>
  <si>
    <t>Leitungsführungskanal 60x40</t>
  </si>
  <si>
    <t xml:space="preserve"> 1. 3. 2. 150</t>
  </si>
  <si>
    <t>Leitungsführungskanal 60x110</t>
  </si>
  <si>
    <t>Kabelrinnen</t>
  </si>
  <si>
    <t xml:space="preserve"> 1. 3. 2. 250</t>
  </si>
  <si>
    <t>Gitterinne 100x35</t>
  </si>
  <si>
    <t xml:space="preserve"> 1. 3. 2. 260</t>
  </si>
  <si>
    <t>Kabelleiter 200x60 E30</t>
  </si>
  <si>
    <t xml:space="preserve"> 1. 3. 2. 270</t>
  </si>
  <si>
    <t>Kabelleiter 300x60 E30</t>
  </si>
  <si>
    <t>Rohre</t>
  </si>
  <si>
    <t xml:space="preserve"> 1. 3. 2. 280</t>
  </si>
  <si>
    <t>Elektroinstallationsrohr Kunststoff AD 20 mm UP</t>
  </si>
  <si>
    <t xml:space="preserve"> 1. 3. 2. 300</t>
  </si>
  <si>
    <t>Schallschutzbarriere</t>
  </si>
  <si>
    <t xml:space="preserve"> 1. 3. 3</t>
  </si>
  <si>
    <t>KG 444 Kabel und Leitungen</t>
  </si>
  <si>
    <t>Kabel und Leitungen</t>
  </si>
  <si>
    <t xml:space="preserve"> 1. 3. 3.  10</t>
  </si>
  <si>
    <t>Installationsleitung halogenfrei NHXMH-J 3x1,5RE UP Fräsen</t>
  </si>
  <si>
    <t xml:space="preserve"> 1. 3. 3.  20</t>
  </si>
  <si>
    <t>Installationsleitung halogenfrei NHXMH-J 3x1,5RE Montagewand</t>
  </si>
  <si>
    <t xml:space="preserve"> 1. 3. 3.  30</t>
  </si>
  <si>
    <t>Installationsleitung halogenfrei NHXMH-J 3x1,5RE vorh.Kabelrinne/Kanal</t>
  </si>
  <si>
    <t xml:space="preserve"> 1. 3. 3.  40</t>
  </si>
  <si>
    <t>Installationsleitung halogenfrei NHXMH-J 3x1,5RE vorh.Rohr/Unterflurkanal</t>
  </si>
  <si>
    <t xml:space="preserve"> 1. 3. 3.  50</t>
  </si>
  <si>
    <t>Installationsleitung halogenfrei NHXMH-J 3x1,5RE oberhalb Zwischendecke</t>
  </si>
  <si>
    <t xml:space="preserve"> 1. 3. 3.  60</t>
  </si>
  <si>
    <t xml:space="preserve"> 1. 3. 3.  70</t>
  </si>
  <si>
    <t xml:space="preserve"> 1. 3. 3.  80</t>
  </si>
  <si>
    <t xml:space="preserve"> 1. 3. 3.  90</t>
  </si>
  <si>
    <t xml:space="preserve"> 1. 3. 3. 100</t>
  </si>
  <si>
    <t>Installationsleitung halogenfrei NHXMH-J 5x1,5RE UP Fräsen</t>
  </si>
  <si>
    <t xml:space="preserve"> 1. 3. 3. 110</t>
  </si>
  <si>
    <t>Installationsleitung halogenfrei NHXMH-J 5x1,5RE Montagewand</t>
  </si>
  <si>
    <t xml:space="preserve"> 1. 3. 3. 120</t>
  </si>
  <si>
    <t>Installationsleitung halogenfrei NHXMH-J 5x1,5RE vorh.Kabelrinne/Kanal</t>
  </si>
  <si>
    <t xml:space="preserve"> 1. 3. 3. 130</t>
  </si>
  <si>
    <t>Installationsleitung halogenfrei NHXMH-J 5x1,5RE vorh.Rohr/Unterflurkanal</t>
  </si>
  <si>
    <t xml:space="preserve"> 1. 3. 3. 140</t>
  </si>
  <si>
    <t>Installationsleitung halogenfrei NHXMH-J 5x1,5RE oberhalb Zwischendecke</t>
  </si>
  <si>
    <t xml:space="preserve"> 1. 3. 3. 150</t>
  </si>
  <si>
    <t xml:space="preserve"> 1. 3. 3. 160</t>
  </si>
  <si>
    <t xml:space="preserve"> 1. 3. 3. 170</t>
  </si>
  <si>
    <t xml:space="preserve"> 1. 3. 3. 180</t>
  </si>
  <si>
    <t xml:space="preserve"> 1. 3. 3. 190</t>
  </si>
  <si>
    <t>Installationsleitung halogenfrei NHXMH-J 3x2,5RE UP Fräsen</t>
  </si>
  <si>
    <t xml:space="preserve"> 1. 3. 3. 200</t>
  </si>
  <si>
    <t>Installationsleitung halogenfrei NHXMH-J 3x2,5RE Montagewand</t>
  </si>
  <si>
    <t xml:space="preserve"> 1. 3. 3. 210</t>
  </si>
  <si>
    <t>Installationsleitung halogenfrei NHXMH-J 3x2,5RE vorh.Kabelrinne/Kanal</t>
  </si>
  <si>
    <t xml:space="preserve"> 1. 3. 3. 220</t>
  </si>
  <si>
    <t>Installationsleitung halogenfrei NHXMH-J 3x2,5RE vorh.Rohr/Unterflurkanal</t>
  </si>
  <si>
    <t xml:space="preserve"> 1. 3. 3. 230</t>
  </si>
  <si>
    <t>Installationsleitung halogenfrei NHXMH-J 3x2,5RE oberhalb Zwischendecke</t>
  </si>
  <si>
    <t xml:space="preserve"> 1. 3. 3. 240</t>
  </si>
  <si>
    <t xml:space="preserve"> 1. 3. 3. 250</t>
  </si>
  <si>
    <t xml:space="preserve"> 1. 3. 3. 260</t>
  </si>
  <si>
    <t xml:space="preserve"> 1. 3. 3. 270</t>
  </si>
  <si>
    <t xml:space="preserve"> 1. 3. 3. 280</t>
  </si>
  <si>
    <t>Installationsleitung halogenfrei NHMH-J 5x2,5RE UP Fräsen</t>
  </si>
  <si>
    <t xml:space="preserve"> 1. 3. 3. 290</t>
  </si>
  <si>
    <t>Installationsleitung halogenfrei NHMH-J 5x2,5RE Montagewand</t>
  </si>
  <si>
    <t xml:space="preserve"> 1. 3. 3. 300</t>
  </si>
  <si>
    <t>Installationsleitung halogenfrei NHMH-J 5x2,5RE vorh.Kabelrinne/Kanal</t>
  </si>
  <si>
    <t xml:space="preserve"> 1. 3. 3. 310</t>
  </si>
  <si>
    <t>Installationsleitung halogenfrei NHMH-J 5x2,5RE vorh.Rohr/Unterflurkanal</t>
  </si>
  <si>
    <t xml:space="preserve"> 1. 3. 3. 320</t>
  </si>
  <si>
    <t>Installationsleitung halogenfrei NHMH-J 5x2,5RE oberhalb Zwischendecke</t>
  </si>
  <si>
    <t xml:space="preserve"> 1. 3. 3. 330</t>
  </si>
  <si>
    <t xml:space="preserve"> 1. 3. 3. 340</t>
  </si>
  <si>
    <t xml:space="preserve"> 1. 3. 3. 350</t>
  </si>
  <si>
    <t xml:space="preserve"> 1. 3. 3. 360</t>
  </si>
  <si>
    <t xml:space="preserve"> 1. 3. 3. 370</t>
  </si>
  <si>
    <t>Installationsleitung halogenfrei NHMH-J 5x4RE UP Fräsen</t>
  </si>
  <si>
    <t xml:space="preserve"> 1. 3. 3. 380</t>
  </si>
  <si>
    <t>Installationsleitung halogenfrei NHMH-J 5x4RE Montagewand</t>
  </si>
  <si>
    <t xml:space="preserve"> 1. 3. 3. 390</t>
  </si>
  <si>
    <t>Installationsleitung halogenfrei NHMH-J 5x4RE vorh.Kabelrinne/Kanal</t>
  </si>
  <si>
    <t xml:space="preserve"> 1. 3. 3. 400</t>
  </si>
  <si>
    <t>Installationsleitung halogenfrei NHMH-J 5x4RE vorh.Rohr/Unterflurkanal</t>
  </si>
  <si>
    <t xml:space="preserve"> 1. 3. 3. 410</t>
  </si>
  <si>
    <t>Installationsleitung halogenfrei NHMH-J 5x4RE oberhalb Zwischendecke</t>
  </si>
  <si>
    <t xml:space="preserve"> 1. 3. 3. 420</t>
  </si>
  <si>
    <t>Installationsleitung halogenfrei NHMH-J 5x16RM Montagewand</t>
  </si>
  <si>
    <t xml:space="preserve"> 1. 3. 3. 430</t>
  </si>
  <si>
    <t>Installationsleitung halogenfrei NHMH-J 5x16RM vorh.Kabelrinne/Kanal</t>
  </si>
  <si>
    <t xml:space="preserve"> 1. 3. 3. 440</t>
  </si>
  <si>
    <t>Installationsleitung halogenfrei NHMH-J 5x16RM vorh.Rohr/Unterflurkanal</t>
  </si>
  <si>
    <t xml:space="preserve"> 1. 3. 3. 450</t>
  </si>
  <si>
    <t>Installationsleitung halogenfrei NHMH-J 5x16RM oberhalb Zwischendecke</t>
  </si>
  <si>
    <t xml:space="preserve"> 1. 3. 3. 460</t>
  </si>
  <si>
    <t>Kabel halogenfrei N2XH-J 1x2,5RM Montagewand</t>
  </si>
  <si>
    <t xml:space="preserve"> 1. 3. 3. 470</t>
  </si>
  <si>
    <t>Kabel halogenfrei N2XH-J 1x2,5RM vorh.Kabelrinne/Kanal</t>
  </si>
  <si>
    <t xml:space="preserve"> 1. 3. 3. 480</t>
  </si>
  <si>
    <t>Kabel halogenfrei N2XH-J 1x2,5RM vorh.Rohr/Unterflurkanal</t>
  </si>
  <si>
    <t xml:space="preserve"> 1. 3. 3. 490</t>
  </si>
  <si>
    <t>Kabel halogenfrei N2XH-J 1x2,5RM oberhalb Zwischendecke</t>
  </si>
  <si>
    <t xml:space="preserve"> 1. 3. 3. 500</t>
  </si>
  <si>
    <t>Kabel halogenfrei N2XH-J 1x4RE Montagewand</t>
  </si>
  <si>
    <t xml:space="preserve"> 1. 3. 3. 510</t>
  </si>
  <si>
    <t>Kabel halogenfrei N2XH-J 1x4RE vorh.Kabelrinne/Kanal</t>
  </si>
  <si>
    <t xml:space="preserve"> 1. 3. 3. 520</t>
  </si>
  <si>
    <t>Kabel halogenfrei N2XH-J 1x4RE vorh.Rohr/Unterflurkanal</t>
  </si>
  <si>
    <t xml:space="preserve"> 1. 3. 3. 530</t>
  </si>
  <si>
    <t>Kabel halogenfrei N2XH-J 1x4RE oberhalb Zwischendecke</t>
  </si>
  <si>
    <t xml:space="preserve"> 1. 3. 3. 540</t>
  </si>
  <si>
    <t>Kabel halogenfrei N2XH-J 1x6RE Montagewand</t>
  </si>
  <si>
    <t xml:space="preserve"> 1. 3. 3. 550</t>
  </si>
  <si>
    <t>Kabel halogenfrei N2XH-J 1x6RE vorh.Kabelrinne/Kanal</t>
  </si>
  <si>
    <t xml:space="preserve"> 1. 3. 3. 560</t>
  </si>
  <si>
    <t>Kabel halogenfrei N2XH-J 1x6RE vorh.Rohr/Unterflurkanal</t>
  </si>
  <si>
    <t xml:space="preserve"> 1. 3. 3. 570</t>
  </si>
  <si>
    <t>Kabel halogenfrei N2XH-J 1x6RE oberhalb Zwischendecke</t>
  </si>
  <si>
    <t xml:space="preserve"> 1. 3. 3. 580</t>
  </si>
  <si>
    <t>Kabel halogenfrei N2XH-J 1x16RE Montagewand</t>
  </si>
  <si>
    <t xml:space="preserve"> 1. 3. 3. 590</t>
  </si>
  <si>
    <t>Kabel halogenfrei N2XH-J 1x16RE vorh.Kabelrinne/Kanal</t>
  </si>
  <si>
    <t xml:space="preserve"> 1. 3. 3. 600</t>
  </si>
  <si>
    <t>Kabel halogenfrei N2XH-J 1x16RE vorh.Rohr/Unterflurkanal</t>
  </si>
  <si>
    <t xml:space="preserve"> 1. 3. 3. 610</t>
  </si>
  <si>
    <t>Kabel halogenfrei N2XH-J 1x16RE oberhalb Zwischendecke</t>
  </si>
  <si>
    <t xml:space="preserve"> 1. 3. 3. 620</t>
  </si>
  <si>
    <t>Gummischlauchleitung H07RN-F 4G1,5 vorh.Kabelrinne/Kanal</t>
  </si>
  <si>
    <t xml:space="preserve"> 1. 3. 3. 630</t>
  </si>
  <si>
    <t>Gummischlauchleitung H07RN-F 4G1,5 vorh.Rohr/Unterflurkanal</t>
  </si>
  <si>
    <t xml:space="preserve"> 1. 3. 3. 640</t>
  </si>
  <si>
    <t>Gummischlauchleitung H07RN-F 4G1,5 Befestigung</t>
  </si>
  <si>
    <t xml:space="preserve"> 1. 3. 3. 650</t>
  </si>
  <si>
    <t xml:space="preserve"> 1. 3. 3. 660</t>
  </si>
  <si>
    <t xml:space="preserve"> 1. 3. 3. 670</t>
  </si>
  <si>
    <t xml:space="preserve"> 1. 3. 3. 680</t>
  </si>
  <si>
    <t>Schneiden/Schwenken/Anschließen 5x10 mm²</t>
  </si>
  <si>
    <t xml:space="preserve"> 1. 3. 3. 690</t>
  </si>
  <si>
    <t>Schneiden/Schwenken/Anschließen 5x16 mm²</t>
  </si>
  <si>
    <t xml:space="preserve"> 1. 3. 3. 700</t>
  </si>
  <si>
    <t>Schneiden/Schwenken/Anschließen 5x70 mm²</t>
  </si>
  <si>
    <t xml:space="preserve"> 1. 3. 4</t>
  </si>
  <si>
    <t>KG 444 Installationsgeräte</t>
  </si>
  <si>
    <t xml:space="preserve"> 1. 3. 4.  10</t>
  </si>
  <si>
    <t>UP Gerätedose</t>
  </si>
  <si>
    <t xml:space="preserve"> 1. 3. 4.  20</t>
  </si>
  <si>
    <t>UP Gerätedose, tief</t>
  </si>
  <si>
    <t xml:space="preserve"> 1. 3. 4.  30</t>
  </si>
  <si>
    <t>UP Gerätedose, Luftdicht</t>
  </si>
  <si>
    <t xml:space="preserve"> 1. 3. 4.  40</t>
  </si>
  <si>
    <t>UP Brandschutzdose</t>
  </si>
  <si>
    <t xml:space="preserve"> 1. 3. 4.  50</t>
  </si>
  <si>
    <t>Gerätedose Hohlwand</t>
  </si>
  <si>
    <t xml:space="preserve"> 1. 3. 4.  60</t>
  </si>
  <si>
    <t>UP Schallschutzdose</t>
  </si>
  <si>
    <t xml:space="preserve"> 1. 3. 4.  70</t>
  </si>
  <si>
    <t>Gerätedose Brüstungskanal</t>
  </si>
  <si>
    <t xml:space="preserve"> 1. 3. 4.  80</t>
  </si>
  <si>
    <t>UP Schalter Aus/Wechsel</t>
  </si>
  <si>
    <t xml:space="preserve"> 1. 3. 4.  90</t>
  </si>
  <si>
    <t>UP Doppeltaster</t>
  </si>
  <si>
    <t xml:space="preserve"> 1. 3. 4. 100</t>
  </si>
  <si>
    <t>UP Taster</t>
  </si>
  <si>
    <t xml:space="preserve"> 1. 3. 4. 110</t>
  </si>
  <si>
    <t>UP Taster Jalousie</t>
  </si>
  <si>
    <t xml:space="preserve"> 1. 3. 4. 120</t>
  </si>
  <si>
    <t>Schalterwippe 1-fach</t>
  </si>
  <si>
    <t xml:space="preserve"> 1. 3. 4. 130</t>
  </si>
  <si>
    <t>Schalterwippe 1-fach Linse</t>
  </si>
  <si>
    <t xml:space="preserve"> 1. 3. 4. 140</t>
  </si>
  <si>
    <t>Schalterwippe 2-fach</t>
  </si>
  <si>
    <t xml:space="preserve"> 1. 3. 4. 150</t>
  </si>
  <si>
    <t>Schalterwippe 2-fach Jalousie</t>
  </si>
  <si>
    <t xml:space="preserve"> 1. 3. 4. 160</t>
  </si>
  <si>
    <t>UP Steckdose</t>
  </si>
  <si>
    <t xml:space="preserve"> 1. 3. 4. 170</t>
  </si>
  <si>
    <t>UP Steckdose, Vandalismussicher</t>
  </si>
  <si>
    <t xml:space="preserve"> 1. 3. 4. 180</t>
  </si>
  <si>
    <t>Abdeckrahmen 1-fach</t>
  </si>
  <si>
    <t xml:space="preserve"> 1. 3. 4. 190</t>
  </si>
  <si>
    <t>Abdeckrahmen 2-fach</t>
  </si>
  <si>
    <t xml:space="preserve"> 1. 3. 4. 200</t>
  </si>
  <si>
    <t>Abdeckrahmen 3-fach</t>
  </si>
  <si>
    <t xml:space="preserve"> 1. 3. 4. 210</t>
  </si>
  <si>
    <t>Abdeckrahmen 4-fach</t>
  </si>
  <si>
    <t xml:space="preserve"> 1. 3. 4. 220</t>
  </si>
  <si>
    <t>Geräteträger Steckdose 2-fach für Sockelleistenkanal</t>
  </si>
  <si>
    <t xml:space="preserve"> 1. 3. 4. 230</t>
  </si>
  <si>
    <t>Präsenzmelder Corridor</t>
  </si>
  <si>
    <t xml:space="preserve"> 1. 3. 4. 240</t>
  </si>
  <si>
    <t>Präsenzmelder 360°</t>
  </si>
  <si>
    <t>AP-Installationsgeräte</t>
  </si>
  <si>
    <t xml:space="preserve"> 1. 3. 4. 260</t>
  </si>
  <si>
    <t>AP Schutzkontaktsteckdose</t>
  </si>
  <si>
    <t xml:space="preserve"> 1. 3. 4. 270</t>
  </si>
  <si>
    <t>AP Ausschalter</t>
  </si>
  <si>
    <t xml:space="preserve"> 1. 3. 4. 280</t>
  </si>
  <si>
    <t>Not-Aus-Taster</t>
  </si>
  <si>
    <t xml:space="preserve"> 1. 3. 4. 290</t>
  </si>
  <si>
    <t>CEE-Wandsteckdose 5x16 A</t>
  </si>
  <si>
    <t xml:space="preserve"> 1. 3. 4. 300</t>
  </si>
  <si>
    <t>CEE-Wandsteckdose 5x32 A</t>
  </si>
  <si>
    <t xml:space="preserve"> 1. 4</t>
  </si>
  <si>
    <t>KG 445 Beleuchtungsanlagen</t>
  </si>
  <si>
    <t xml:space="preserve"> 1. 4. 1</t>
  </si>
  <si>
    <t>Allgemeinbeleuchtung</t>
  </si>
  <si>
    <t xml:space="preserve"> 1. 4. 1.  10</t>
  </si>
  <si>
    <t>LED Feuchtraumleuchte</t>
  </si>
  <si>
    <t xml:space="preserve"> 1. 4. 1.  20</t>
  </si>
  <si>
    <t>LED Einbauleuchte, rund</t>
  </si>
  <si>
    <t xml:space="preserve"> 1. 4. 1.  30</t>
  </si>
  <si>
    <t xml:space="preserve"> 1. 4. 1.  40</t>
  </si>
  <si>
    <t>LED Einbauleuchte, quadratisch</t>
  </si>
  <si>
    <t xml:space="preserve"> 1. 4. 1.  50</t>
  </si>
  <si>
    <t>LED Pendelleuchte</t>
  </si>
  <si>
    <t xml:space="preserve"> 1. 4. 1.  60</t>
  </si>
  <si>
    <t>LED Pendelleuchte als Ring</t>
  </si>
  <si>
    <t xml:space="preserve"> 1. 4. 1.  70</t>
  </si>
  <si>
    <t xml:space="preserve"> 1. 4. 1.  80</t>
  </si>
  <si>
    <t>LED Spiegelleuchte</t>
  </si>
  <si>
    <t xml:space="preserve"> 1. 4. 1.  90</t>
  </si>
  <si>
    <t>LED Lichtkanalsystem</t>
  </si>
  <si>
    <t xml:space="preserve"> 1. 4. 1. 100</t>
  </si>
  <si>
    <t xml:space="preserve"> 1. 4. 1. 110</t>
  </si>
  <si>
    <t xml:space="preserve"> 1. 4. 2</t>
  </si>
  <si>
    <t>Sicherheitsbeleuchtung</t>
  </si>
  <si>
    <t>Allgemeine Vorbemerkungen</t>
  </si>
  <si>
    <t>Vorbemerkungen</t>
  </si>
  <si>
    <t xml:space="preserve"> 1. 4. 2.  10</t>
  </si>
  <si>
    <t>Zentralbatteriesystem</t>
  </si>
  <si>
    <t xml:space="preserve"> 1. 4. 2.  20</t>
  </si>
  <si>
    <t>3-PM-IO Modul</t>
  </si>
  <si>
    <t xml:space="preserve"> 1. 4. 2.  30</t>
  </si>
  <si>
    <t>F3-Fernanzeige entspr. DIN VDE 0100-560</t>
  </si>
  <si>
    <t xml:space="preserve"> 1. 4. 2.  40</t>
  </si>
  <si>
    <t>Sicherheitsleuchte in LED-Technologie</t>
  </si>
  <si>
    <t xml:space="preserve"> 1. 4. 2.  50</t>
  </si>
  <si>
    <t>Sicherheitsleuchte mit hoher Schutzart (IP65) in LED</t>
  </si>
  <si>
    <t xml:space="preserve"> 1. 4. 2.  60</t>
  </si>
  <si>
    <t>Einseitig abstrahlende Rettungszeichenleuchte in LED</t>
  </si>
  <si>
    <t xml:space="preserve"> 1. 4. 2.  70</t>
  </si>
  <si>
    <t>Rettungszeichenleuchte</t>
  </si>
  <si>
    <t xml:space="preserve"> 1. 4. 2.  80</t>
  </si>
  <si>
    <t>Sicherheitsleuchte Einbau, Rettungsweg</t>
  </si>
  <si>
    <t xml:space="preserve"> 1. 4. 2.  90</t>
  </si>
  <si>
    <t>Sicherheitsleuchte Einbau, Fläche</t>
  </si>
  <si>
    <t xml:space="preserve"> 1. 4. 2. 100</t>
  </si>
  <si>
    <t>Sicherheitsleuchte, Einbau, Außen</t>
  </si>
  <si>
    <t xml:space="preserve"> 1. 4. 2. 110</t>
  </si>
  <si>
    <t>Stromkreisbezeichnungsschilder</t>
  </si>
  <si>
    <t xml:space="preserve"> 1. 4. 2. 120</t>
  </si>
  <si>
    <t>Programmiersoftware fuer Speicherkarte</t>
  </si>
  <si>
    <t xml:space="preserve"> 1. 4. 2. 130</t>
  </si>
  <si>
    <t>Programmierung und Einweisung</t>
  </si>
  <si>
    <t xml:space="preserve"> 1. 4. 2. 140</t>
  </si>
  <si>
    <t>Teilnahme Sachverständigenabnahme</t>
  </si>
  <si>
    <t xml:space="preserve"> 1. 5</t>
  </si>
  <si>
    <t>KG 446 Blitzschutz- und Erdungsanlagen</t>
  </si>
  <si>
    <t xml:space="preserve"> 1. 5. 1</t>
  </si>
  <si>
    <t>KG 446 Potentialausgleich</t>
  </si>
  <si>
    <t xml:space="preserve"> 1. 5. 1.  10</t>
  </si>
  <si>
    <t>Haupterdungsschiene</t>
  </si>
  <si>
    <t xml:space="preserve"> 1. 5. 1.  20</t>
  </si>
  <si>
    <t>Potentialausgleichsschiene</t>
  </si>
  <si>
    <t xml:space="preserve"> 1. 5. 1.  30</t>
  </si>
  <si>
    <t>Erdungsbandrohrschellen</t>
  </si>
  <si>
    <t xml:space="preserve"> 1. 5. 2</t>
  </si>
  <si>
    <t>KG 446 Überspannungsschutzgeräte</t>
  </si>
  <si>
    <t xml:space="preserve"> 1. 5. 2.  10</t>
  </si>
  <si>
    <t>Überspannungsschutz Außenbeleuchtung</t>
  </si>
  <si>
    <t xml:space="preserve"> 1. 5. 2.  20</t>
  </si>
  <si>
    <t>Überspannungsschutz Jalousie</t>
  </si>
  <si>
    <t xml:space="preserve"> 1. 6</t>
  </si>
  <si>
    <t>KG 449 Starkstromanlagen, Sonstiges</t>
  </si>
  <si>
    <t xml:space="preserve"> 1. 6. 1</t>
  </si>
  <si>
    <t>KG 449 Brandschutzmaßnahmen</t>
  </si>
  <si>
    <t>Feuerbeständige Verkleidungen nach DIN 4102</t>
  </si>
  <si>
    <t xml:space="preserve"> 1. 6. 1.  10</t>
  </si>
  <si>
    <t>Kabelschottungen Wand S30</t>
  </si>
  <si>
    <t xml:space="preserve"> 1. 6. 1.  20</t>
  </si>
  <si>
    <t>Dosenschott</t>
  </si>
  <si>
    <t xml:space="preserve"> 1. 6. 2</t>
  </si>
  <si>
    <t>KG 449 Stundenlohnarbeiten</t>
  </si>
  <si>
    <t>Stundenlohnarbeiten</t>
  </si>
  <si>
    <t xml:space="preserve"> 1. 6. 3</t>
  </si>
  <si>
    <t>KG 449 Bohrungen / Durchbrüche / Schlitze</t>
  </si>
  <si>
    <t>Bohrungen und Durchbrüche</t>
  </si>
  <si>
    <t>Schlitze</t>
  </si>
  <si>
    <t xml:space="preserve"> 1. 6. 3.  20</t>
  </si>
  <si>
    <t>Schlitz bis 25 mm</t>
  </si>
  <si>
    <t xml:space="preserve"> 1. 6. 4</t>
  </si>
  <si>
    <t>KG 449 Anschlussarbeiten</t>
  </si>
  <si>
    <t>Anschlussarbeiten</t>
  </si>
  <si>
    <t xml:space="preserve"> 1. 6. 4.  10</t>
  </si>
  <si>
    <t>Anschlüsse von Fremdgewerken bis 5x2,5mm²</t>
  </si>
  <si>
    <t xml:space="preserve"> 1. 6. 4.  20</t>
  </si>
  <si>
    <t>Anschluss RLT-Gerät</t>
  </si>
  <si>
    <t xml:space="preserve"> 1. 6. 4.  30</t>
  </si>
  <si>
    <t xml:space="preserve"> 1. 6. 4.  40</t>
  </si>
  <si>
    <t>Anschluss Durchlauferhitzer</t>
  </si>
  <si>
    <t>KG 450 Fernmelde- und Informationstechnische Anlagen</t>
  </si>
  <si>
    <t xml:space="preserve"> 2. 1</t>
  </si>
  <si>
    <t>KG 452 Such- und Signalanlagen</t>
  </si>
  <si>
    <t xml:space="preserve"> 2. 1. 1</t>
  </si>
  <si>
    <t>KG 452 Klingelanlage</t>
  </si>
  <si>
    <t xml:space="preserve"> 2. 1. 1.  10</t>
  </si>
  <si>
    <t>Türsprechanlage mit Gegensprechanlage</t>
  </si>
  <si>
    <t xml:space="preserve"> 2. 1. 2</t>
  </si>
  <si>
    <t>KG 452 Beh.WC-Notruf</t>
  </si>
  <si>
    <t xml:space="preserve"> 2. 1. 2.  10</t>
  </si>
  <si>
    <t>Notrufset für Beh.-WC</t>
  </si>
  <si>
    <t xml:space="preserve"> 2. 1. 2.  20</t>
  </si>
  <si>
    <t>Rufmodul</t>
  </si>
  <si>
    <t xml:space="preserve"> 2. 1. 2.  30</t>
  </si>
  <si>
    <t>USV für Notrufset</t>
  </si>
  <si>
    <t xml:space="preserve"> 2. 2</t>
  </si>
  <si>
    <t>KG 454 Elektroakustische Anlagen</t>
  </si>
  <si>
    <t xml:space="preserve"> 2. 2. 1</t>
  </si>
  <si>
    <t>KG 454 ELA-Anlage</t>
  </si>
  <si>
    <t xml:space="preserve"> 2. 2. 1.  10</t>
  </si>
  <si>
    <t>ELA Schrank</t>
  </si>
  <si>
    <t xml:space="preserve"> 2. 2. 1.  20</t>
  </si>
  <si>
    <t>Unbelüftete Frontblende 0,5 HE</t>
  </si>
  <si>
    <t xml:space="preserve"> 2. 2. 1.  30</t>
  </si>
  <si>
    <t>Unbelüftete Frontblende 1,0 HE</t>
  </si>
  <si>
    <t xml:space="preserve"> 2. 2. 1.  40</t>
  </si>
  <si>
    <t>Gelochte Führungsschiene</t>
  </si>
  <si>
    <t xml:space="preserve"> 2. 2. 1.  50</t>
  </si>
  <si>
    <t>Steckdosenleiste</t>
  </si>
  <si>
    <t xml:space="preserve"> 2. 2. 1.  60</t>
  </si>
  <si>
    <t>Kabel-/Lautsprecherkreisverteilung</t>
  </si>
  <si>
    <t xml:space="preserve"> 2. 2. 1.  70</t>
  </si>
  <si>
    <t>Erweiterungsset</t>
  </si>
  <si>
    <t xml:space="preserve"> 2. 2. 1.  80</t>
  </si>
  <si>
    <t>24V Notstromversorgung</t>
  </si>
  <si>
    <t xml:space="preserve"> 2. 2. 1.  90</t>
  </si>
  <si>
    <t>Einschaltmanager</t>
  </si>
  <si>
    <t xml:space="preserve"> 2. 2. 1. 100</t>
  </si>
  <si>
    <t>Kabelsatz</t>
  </si>
  <si>
    <t xml:space="preserve"> 2. 2. 1. 110</t>
  </si>
  <si>
    <t>Wartungsfreier 10-Jahres Akku (12V/120Ah)</t>
  </si>
  <si>
    <t xml:space="preserve"> 2. 2. 1. 120</t>
  </si>
  <si>
    <t>SAA Leistungsverstärker-Matrix</t>
  </si>
  <si>
    <t xml:space="preserve"> 2. 2. 1. 130</t>
  </si>
  <si>
    <t xml:space="preserve"> 2. 2. 1. 140</t>
  </si>
  <si>
    <t>Mikrofon-Sprechstelle</t>
  </si>
  <si>
    <t xml:space="preserve"> 2. 2. 1. 150</t>
  </si>
  <si>
    <t>Tastaturerweiterung</t>
  </si>
  <si>
    <t xml:space="preserve"> 2. 2. 1. 160</t>
  </si>
  <si>
    <t>Hauptuhr</t>
  </si>
  <si>
    <t xml:space="preserve"> 2. 2. 1. 170</t>
  </si>
  <si>
    <t>Funkempfänger</t>
  </si>
  <si>
    <t xml:space="preserve"> 2. 2. 1. 180</t>
  </si>
  <si>
    <t>UP Vorverstärker</t>
  </si>
  <si>
    <t xml:space="preserve"> 2. 2. 1. 190</t>
  </si>
  <si>
    <t>Blauer Notfallmelder</t>
  </si>
  <si>
    <t xml:space="preserve"> 2. 2. 1. 200</t>
  </si>
  <si>
    <t>Verknüpfung zur Telefonanlage</t>
  </si>
  <si>
    <t xml:space="preserve"> 2. 2. 1. 210</t>
  </si>
  <si>
    <t>Externer Wandverteiler</t>
  </si>
  <si>
    <t xml:space="preserve"> 2. 2. 1. 220</t>
  </si>
  <si>
    <t>Tonsäulenlautsprecher</t>
  </si>
  <si>
    <t xml:space="preserve"> 2. 2. 1. 230</t>
  </si>
  <si>
    <t>Deckeneinbaulautsprecher</t>
  </si>
  <si>
    <t xml:space="preserve"> 2. 2. 1. 240</t>
  </si>
  <si>
    <t>Wandaufbaulautsprecher</t>
  </si>
  <si>
    <t xml:space="preserve"> 2. 2. 1. 250</t>
  </si>
  <si>
    <t>Druckkammer-Lautsprecher</t>
  </si>
  <si>
    <t xml:space="preserve"> 2. 2. 1. 260</t>
  </si>
  <si>
    <t>Lautsprecher-Linien "END OF LINE Modul"</t>
  </si>
  <si>
    <t xml:space="preserve"> 2. 2. 1. 270</t>
  </si>
  <si>
    <t>Schalldruckmessung</t>
  </si>
  <si>
    <t xml:space="preserve"> 2. 2. 1. 280</t>
  </si>
  <si>
    <t>Impedanzmessung</t>
  </si>
  <si>
    <t xml:space="preserve"> 2. 3</t>
  </si>
  <si>
    <t>KG 456 Brandmeldeanlage</t>
  </si>
  <si>
    <t xml:space="preserve"> 2. 3. 1</t>
  </si>
  <si>
    <t>Anforderungen an Ausführung BMA</t>
  </si>
  <si>
    <t>Anforderungen an Ausführ. Ansaugrauchm.</t>
  </si>
  <si>
    <t>Zentrale</t>
  </si>
  <si>
    <t xml:space="preserve"> 2. 3. 1.  10</t>
  </si>
  <si>
    <t>Brandmelderzentrale mit Bedienfeld</t>
  </si>
  <si>
    <t xml:space="preserve"> 2. 3. 1.  20</t>
  </si>
  <si>
    <t>Beschriftungsplatte deutsch</t>
  </si>
  <si>
    <t xml:space="preserve"> 2. 3. 1.  30</t>
  </si>
  <si>
    <t>Akku zur Notstromversorgung 12 V / 18 Ah</t>
  </si>
  <si>
    <t xml:space="preserve"> 2. 3. 1.  40</t>
  </si>
  <si>
    <t xml:space="preserve"> 2. 3. 1.  50</t>
  </si>
  <si>
    <t>Akku zur Notstromversorgung 12 V /7,2 Ah</t>
  </si>
  <si>
    <t xml:space="preserve"> 2. 3. 1.  60</t>
  </si>
  <si>
    <t>Polkappe für Akkus 4er</t>
  </si>
  <si>
    <t xml:space="preserve"> 2. 3. 1.  70</t>
  </si>
  <si>
    <t>Aufkleber Brandmelderzentrale</t>
  </si>
  <si>
    <t xml:space="preserve"> 2. 3. 1.  80</t>
  </si>
  <si>
    <t>Betriebsbuch für BMA</t>
  </si>
  <si>
    <t>Fernzugriff</t>
  </si>
  <si>
    <t xml:space="preserve"> 2. 3. 1.  90</t>
  </si>
  <si>
    <t>Mobilfunk-Router</t>
  </si>
  <si>
    <t xml:space="preserve"> 2. 3. 1. 100</t>
  </si>
  <si>
    <t>Mobilfunk Paket M</t>
  </si>
  <si>
    <t xml:space="preserve"> 2. 3. 1. 110</t>
  </si>
  <si>
    <t>Hutschienenschrank</t>
  </si>
  <si>
    <t>Melder</t>
  </si>
  <si>
    <t xml:space="preserve"> 2. 3. 1. 120</t>
  </si>
  <si>
    <t>Mehrfachsensormelder R/W</t>
  </si>
  <si>
    <t xml:space="preserve"> 2. 3. 1. 130</t>
  </si>
  <si>
    <t>Meldersockel ohne RingkontaktAP</t>
  </si>
  <si>
    <t xml:space="preserve"> 2. 3. 1. 140</t>
  </si>
  <si>
    <t>Melderschild für automatischeMelder</t>
  </si>
  <si>
    <t xml:space="preserve"> 2. 3. 1. 150</t>
  </si>
  <si>
    <t>Meldernummerierungsschildhalter 10er</t>
  </si>
  <si>
    <t xml:space="preserve"> 2. 3. 1. 160</t>
  </si>
  <si>
    <t>Handfeuermelder rot, IP 52</t>
  </si>
  <si>
    <t xml:space="preserve"> 2. 3. 1. 170</t>
  </si>
  <si>
    <t>Handmelder blau, IP 52</t>
  </si>
  <si>
    <t xml:space="preserve"> 2. 3. 1. 180</t>
  </si>
  <si>
    <t>Ersatzglasscheibe für GehäuseHFM</t>
  </si>
  <si>
    <t xml:space="preserve"> 2. 3. 1. 190</t>
  </si>
  <si>
    <t>Metallschlüssel für Handfeuermelder, 5er</t>
  </si>
  <si>
    <t xml:space="preserve"> 2. 3. 1. 200</t>
  </si>
  <si>
    <t>Melderschild für nichtautomat. Melder</t>
  </si>
  <si>
    <t xml:space="preserve"> 2. 3. 1. 210</t>
  </si>
  <si>
    <t>Einlegeblatt Handfeuermelder 10x9 Bogen</t>
  </si>
  <si>
    <t>Ansaugrauchmelder</t>
  </si>
  <si>
    <t xml:space="preserve"> 2. 3. 1. 220</t>
  </si>
  <si>
    <t xml:space="preserve"> 2. 3. 1. 230</t>
  </si>
  <si>
    <t>Ringleitungsmodul für Sondermelder</t>
  </si>
  <si>
    <t xml:space="preserve"> 2. 3. 1. 240</t>
  </si>
  <si>
    <t xml:space="preserve"> 2. 3. 1. 250</t>
  </si>
  <si>
    <t>Staub-Filtereinheit</t>
  </si>
  <si>
    <t xml:space="preserve"> 2. 3. 1. 260</t>
  </si>
  <si>
    <t>Ansaugrohr PVC d=25 mm,5 m Länge</t>
  </si>
  <si>
    <t xml:space="preserve"> 2. 3. 1. 270</t>
  </si>
  <si>
    <t>PVC-Muffe d=25 mm 10er</t>
  </si>
  <si>
    <t xml:space="preserve"> 2. 3. 1. 280</t>
  </si>
  <si>
    <t>Befestigungsschelle d025 mm, PP 10er</t>
  </si>
  <si>
    <t xml:space="preserve"> 2. 3. 1. 290</t>
  </si>
  <si>
    <t>Reiniger 125 ml für PVC/ABS</t>
  </si>
  <si>
    <t xml:space="preserve"> 2. 3. 1. 300</t>
  </si>
  <si>
    <t>PVC-Kleber 125 ml</t>
  </si>
  <si>
    <t xml:space="preserve"> 2. 3. 1. 310</t>
  </si>
  <si>
    <t>PVC-T-Stück d=25 mm 10er</t>
  </si>
  <si>
    <t xml:space="preserve"> 2. 3. 1. 320</t>
  </si>
  <si>
    <t>PVC-Druckluftanschluss d=25 mm</t>
  </si>
  <si>
    <t xml:space="preserve"> 2. 3. 1. 330</t>
  </si>
  <si>
    <t>PVC-Endkappe d=25 mm 10er</t>
  </si>
  <si>
    <t xml:space="preserve"> 2. 3. 1. 340</t>
  </si>
  <si>
    <t>PVC-Bogen 90° d=25 mm 5er</t>
  </si>
  <si>
    <t xml:space="preserve"> 2. 3. 1. 350</t>
  </si>
  <si>
    <t>Manueller Kugelhahn d=25 mm, PVC</t>
  </si>
  <si>
    <t>Alamierung</t>
  </si>
  <si>
    <t xml:space="preserve"> 2. 3. 1. 360</t>
  </si>
  <si>
    <t>Akust. Signalgeber rot, flach, 99 dB</t>
  </si>
  <si>
    <t xml:space="preserve"> 2. 3. 1. 370</t>
  </si>
  <si>
    <t>Akust. Sockelsignalgeber weiß, flach</t>
  </si>
  <si>
    <t xml:space="preserve"> 2. 3. 1. 380</t>
  </si>
  <si>
    <t>Ext. Energieversorg. 1,6 A, 12Ah MLAR</t>
  </si>
  <si>
    <t xml:space="preserve"> 2. 3. 1. 390</t>
  </si>
  <si>
    <t xml:space="preserve"> 2. 3. 1. 400</t>
  </si>
  <si>
    <t>Aufkleber Ext. Energievers.</t>
  </si>
  <si>
    <t>Steuerungen</t>
  </si>
  <si>
    <t xml:space="preserve"> 2. 3. 1. 410</t>
  </si>
  <si>
    <t>Relaismodul</t>
  </si>
  <si>
    <t xml:space="preserve"> 2. 3. 1. 420</t>
  </si>
  <si>
    <t>Gehäuse für Ringmodule</t>
  </si>
  <si>
    <t>Feuerwehr</t>
  </si>
  <si>
    <t xml:space="preserve"> 2. 3. 1. 430</t>
  </si>
  <si>
    <t>Feuerwehr-Laufkarte A3</t>
  </si>
  <si>
    <t xml:space="preserve"> 2. 3. 1. 440</t>
  </si>
  <si>
    <t>Feuerwehr-Informations-/Bediensystem A3</t>
  </si>
  <si>
    <t xml:space="preserve"> 2. 3. 1. 450</t>
  </si>
  <si>
    <t>Schlüsseldepot Sabotageschutzm. Schloss</t>
  </si>
  <si>
    <t xml:space="preserve"> 2. 3. 1. 460</t>
  </si>
  <si>
    <t>DIN-Edelstahlhohlsäule</t>
  </si>
  <si>
    <t xml:space="preserve"> 2. 3. 1. 470</t>
  </si>
  <si>
    <t>Mauerzarge für Schlüsseldepot</t>
  </si>
  <si>
    <t xml:space="preserve"> 2. 3. 1. 480</t>
  </si>
  <si>
    <t>Blitzleuchte für Edelstahlsäule</t>
  </si>
  <si>
    <t xml:space="preserve"> 2. 3. 1. 490</t>
  </si>
  <si>
    <t>Blendrahmen mit Regenschutz</t>
  </si>
  <si>
    <t xml:space="preserve"> 2. 3. 1. 500</t>
  </si>
  <si>
    <t>Adapter für Schlüsseldepot</t>
  </si>
  <si>
    <t xml:space="preserve"> 2. 3. 1. 510</t>
  </si>
  <si>
    <t>Netzgerät für Schlüsseldepotheizung</t>
  </si>
  <si>
    <t xml:space="preserve"> 2. 3. 1. 520</t>
  </si>
  <si>
    <t>Gehäuse mit Hutschiene, transparent</t>
  </si>
  <si>
    <t xml:space="preserve"> 2. 3. 1. 530</t>
  </si>
  <si>
    <t>Freischaltelement mit SZ und Widerst.</t>
  </si>
  <si>
    <t xml:space="preserve"> 2. 3. 1. 540</t>
  </si>
  <si>
    <t>Eingangsmodul, 1 Eingang</t>
  </si>
  <si>
    <t xml:space="preserve"> 2. 3. 1. 550</t>
  </si>
  <si>
    <t xml:space="preserve"> 2. 3. 1. 560</t>
  </si>
  <si>
    <t>Optischer Signalgebeber rot, IP 54</t>
  </si>
  <si>
    <t xml:space="preserve"> 2. 3. 1. 570</t>
  </si>
  <si>
    <t>Feuerwehr-Übertragungseinrichtung</t>
  </si>
  <si>
    <t>Instandhaltung</t>
  </si>
  <si>
    <t xml:space="preserve"> 2. 3. 1. 580</t>
  </si>
  <si>
    <t>Planbare Inspektions- und Wartungskosten</t>
  </si>
  <si>
    <t xml:space="preserve"> 2. 3. 1. 590</t>
  </si>
  <si>
    <t>Dokumentation</t>
  </si>
  <si>
    <t xml:space="preserve"> 2. 3. 1. 600</t>
  </si>
  <si>
    <t>Inbetriebsetzung</t>
  </si>
  <si>
    <t xml:space="preserve"> 2. 3. 1. 610</t>
  </si>
  <si>
    <t>Betreiberabnahme</t>
  </si>
  <si>
    <t xml:space="preserve"> 2. 3. 1. 620</t>
  </si>
  <si>
    <t>Sachverständigenabnahme</t>
  </si>
  <si>
    <t xml:space="preserve"> 2. 3. 1. 630</t>
  </si>
  <si>
    <t>Betreiberschulung</t>
  </si>
  <si>
    <t xml:space="preserve"> 2. 3. 1. 640</t>
  </si>
  <si>
    <t>Feuerwehrabnahme</t>
  </si>
  <si>
    <t xml:space="preserve"> 2. 4</t>
  </si>
  <si>
    <t>KG 457 Übertragungsnetze</t>
  </si>
  <si>
    <t xml:space="preserve"> 2. 4. 1</t>
  </si>
  <si>
    <t>KG 457 - Leitungen</t>
  </si>
  <si>
    <t xml:space="preserve"> 2. 4. 1.  10</t>
  </si>
  <si>
    <t>Installationskabel symmetrisch J-Y(St)Y 2x2x0,6 Bd Montagewand</t>
  </si>
  <si>
    <t xml:space="preserve"> 2. 4. 1.  20</t>
  </si>
  <si>
    <t>Installationskabel symmetrisch J-Y(St)Y 2x2x0,6 Bd vorh.Kabelrinne/Kanal</t>
  </si>
  <si>
    <t xml:space="preserve"> 2. 4. 1.  30</t>
  </si>
  <si>
    <t>Installationskabel symmetrisch J-Y(St)Y 2x2x0,6 Bd vorh.Rohr/Unterflurkanal</t>
  </si>
  <si>
    <t xml:space="preserve"> 2. 4. 1.  40</t>
  </si>
  <si>
    <t>Installationskabel symmetrisch J-Y(St)Y 2x2x0,6 Bd oberhalb Zwischendecke</t>
  </si>
  <si>
    <t xml:space="preserve"> 2. 4. 1.  50</t>
  </si>
  <si>
    <t>Installationskabel symmetrisch J-Y(St)Y 4x2x0,6 Bd Montagewand</t>
  </si>
  <si>
    <t xml:space="preserve"> 2. 4. 1.  60</t>
  </si>
  <si>
    <t>Installationskabel symmetrisch J-Y(St)Y 4x2x0,6 Bd vorh.Kabelrinne/Kanal</t>
  </si>
  <si>
    <t xml:space="preserve"> 2. 4. 1.  70</t>
  </si>
  <si>
    <t>Installationskabel symmetrisch J-Y(St)Y 4x2x0,6 Bd vorh.Rohr/Unterflurkanal</t>
  </si>
  <si>
    <t xml:space="preserve"> 2. 4. 1.  80</t>
  </si>
  <si>
    <t>Installationskabel symmetrisch J-Y(St)Y 4x2x0,6 Bd oberhalb Zwischendecke</t>
  </si>
  <si>
    <t xml:space="preserve"> 2. 4. 1.  90</t>
  </si>
  <si>
    <t xml:space="preserve"> 2. 4. 1. 100</t>
  </si>
  <si>
    <t xml:space="preserve"> 2. 4. 1. 110</t>
  </si>
  <si>
    <t xml:space="preserve"> 2. 4. 1. 120</t>
  </si>
  <si>
    <t xml:space="preserve"> 2. 4. 1. 130</t>
  </si>
  <si>
    <t>Installationskabel symmetrisch J-Y(St)Y 6x2x0,6 Bd Montagewand</t>
  </si>
  <si>
    <t xml:space="preserve"> 2. 4. 1. 140</t>
  </si>
  <si>
    <t>Installationskabel symmetrisch J-Y(St)Y 6x2x0,6 Bd vorh.Kabelrinne/Kanal</t>
  </si>
  <si>
    <t xml:space="preserve"> 2. 4. 1. 150</t>
  </si>
  <si>
    <t>Installationskabel symmetrisch J-Y(St)Y 6x2x0,6 Bd vorh.Rohr/Unterflurkanal</t>
  </si>
  <si>
    <t xml:space="preserve"> 2. 4. 1. 160</t>
  </si>
  <si>
    <t>Installationskabel symmetrisch J-Y(St)Y 6x2x0,6 Bd oberhalb Zwischendecke</t>
  </si>
  <si>
    <t xml:space="preserve"> 2. 4. 1. 170</t>
  </si>
  <si>
    <t xml:space="preserve"> 2. 4. 1. 180</t>
  </si>
  <si>
    <t xml:space="preserve"> 2. 4. 1. 190</t>
  </si>
  <si>
    <t xml:space="preserve"> 2. 4. 1. 200</t>
  </si>
  <si>
    <t xml:space="preserve"> 2. 4. 1. 210</t>
  </si>
  <si>
    <t>Installationskabel symmetrisch J-Y(St)Y 4x2x0,8 Bd Montagewand</t>
  </si>
  <si>
    <t xml:space="preserve"> 2. 4. 1. 220</t>
  </si>
  <si>
    <t>Installationskabel symmetrisch J-Y(St)Y 4x2x0,8 Bd vorh.Kabelrinne/Kanal</t>
  </si>
  <si>
    <t xml:space="preserve"> 2. 4. 1. 230</t>
  </si>
  <si>
    <t>Installationskabel symmetrisch J-Y(St)Y 4x2x0,8 Bd vorh.Rohr/Unterflurkanal</t>
  </si>
  <si>
    <t xml:space="preserve"> 2. 4. 1. 240</t>
  </si>
  <si>
    <t>Installationskabel symmetrisch J-Y(St)Y 4x2x0,8 Bd oberhalb Zwischendecke</t>
  </si>
  <si>
    <t xml:space="preserve"> 2. 4. 1. 250</t>
  </si>
  <si>
    <t xml:space="preserve"> 2. 4. 1. 260</t>
  </si>
  <si>
    <t xml:space="preserve"> 2. 4. 1. 270</t>
  </si>
  <si>
    <t xml:space="preserve"> 2. 4. 1. 280</t>
  </si>
  <si>
    <t xml:space="preserve"> 2. 4. 1. 290</t>
  </si>
  <si>
    <t>Installationskabel symmetrisch J-Y(St)Y 10x2x0,8 Bd Montagewand</t>
  </si>
  <si>
    <t xml:space="preserve"> 2. 4. 1. 300</t>
  </si>
  <si>
    <t>Installationskabel symmetrisch J-Y(St)Y 10x2x0,8 Bd vorh.Kabelrinne/Kanal</t>
  </si>
  <si>
    <t xml:space="preserve"> 2. 4. 1. 310</t>
  </si>
  <si>
    <t>Installationskabel symmetrisch J-Y(St)Y 10x2x0,8 Bd vorh.Rohr/Unterflurkanal</t>
  </si>
  <si>
    <t xml:space="preserve"> 2. 4. 1. 320</t>
  </si>
  <si>
    <t>Installationskabel symmetrisch J-Y(St)Y 10x2x0,8 Bd oberhalb Zwischendecke</t>
  </si>
  <si>
    <t xml:space="preserve"> 2. 4. 1. 330</t>
  </si>
  <si>
    <t xml:space="preserve"> 2. 4. 1. 340</t>
  </si>
  <si>
    <t xml:space="preserve"> 2. 4. 1. 350</t>
  </si>
  <si>
    <t xml:space="preserve"> 2. 4. 1. 360</t>
  </si>
  <si>
    <t xml:space="preserve"> 2. 4. 1. 370</t>
  </si>
  <si>
    <t>Installationskabel symmetrisch BMK J-Y(St)Y 2x2x0,8 Montagewand</t>
  </si>
  <si>
    <t xml:space="preserve"> 2. 4. 1. 380</t>
  </si>
  <si>
    <t>Installationskabel symmetrisch BMK J-Y(St)Y 2x2x0,8 UP Fräsen</t>
  </si>
  <si>
    <t xml:space="preserve"> 2. 4. 1. 390</t>
  </si>
  <si>
    <t>Installationskabel symmetrisch BMK J-Y(St)Y 2x2x0,8 vorh.Kabelrinne/Kanal</t>
  </si>
  <si>
    <t xml:space="preserve"> 2. 4. 1. 400</t>
  </si>
  <si>
    <t>Installationskabel symmetrisch BMK J-Y(St)Y 2x2x0,8 vorh.Rohr/Unterflurkanal</t>
  </si>
  <si>
    <t xml:space="preserve"> 2. 4. 1. 410</t>
  </si>
  <si>
    <t>Installationskabel symmetrisch BMK J-Y(St)Y 2x2x0,8 oberhalb Zwischendecke</t>
  </si>
  <si>
    <t xml:space="preserve"> 2. 4. 1. 420</t>
  </si>
  <si>
    <t xml:space="preserve"> 2. 4. 1. 430</t>
  </si>
  <si>
    <t xml:space="preserve"> 2. 4. 1. 440</t>
  </si>
  <si>
    <t xml:space="preserve"> 2. 4. 1. 450</t>
  </si>
  <si>
    <t xml:space="preserve"> 2. 4. 1. 460</t>
  </si>
  <si>
    <t>Installationskabel symmetrisch BMK J-Y(St)Y 4x2x0,8 Montagewand</t>
  </si>
  <si>
    <t xml:space="preserve"> 2. 4. 1. 470</t>
  </si>
  <si>
    <t>Installationskabel symmetrisch BMK J-Y(St)Y 4x2x0,8 UP Fräsen</t>
  </si>
  <si>
    <t xml:space="preserve"> 2. 4. 1. 480</t>
  </si>
  <si>
    <t>Installationskabel symmetrisch BMK J-Y(St)Y 4x2x0,8 vorh.Kabelrinne/Kanal</t>
  </si>
  <si>
    <t xml:space="preserve"> 2. 4. 1. 490</t>
  </si>
  <si>
    <t>Installationskabel symmetrisch BMK J-Y(St)Y 4x2x0,8 vorh.Rohr/Unterflurkanal</t>
  </si>
  <si>
    <t xml:space="preserve"> 2. 4. 1. 500</t>
  </si>
  <si>
    <t>Installationskabel symmetrisch BMK J-Y(St)Y 4x2x0,8 oberhalb Zwischendecke</t>
  </si>
  <si>
    <t xml:space="preserve"> 2. 4. 1. 510</t>
  </si>
  <si>
    <t xml:space="preserve"> 2. 4. 1. 520</t>
  </si>
  <si>
    <t xml:space="preserve"> 2. 4. 1. 530</t>
  </si>
  <si>
    <t xml:space="preserve"> 2. 4. 1. 540</t>
  </si>
  <si>
    <t xml:space="preserve"> 2. 4. 1. 550</t>
  </si>
  <si>
    <t>Installationskabel symmetrisch BMK J-Y(St)Y 6x2x0,8 Montagewand</t>
  </si>
  <si>
    <t xml:space="preserve"> 2. 4. 1. 560</t>
  </si>
  <si>
    <t>Installationskabel symmetrisch BMK J-Y(St)Y 6x2x0,8 vorh.Kabelrinne/Kanal</t>
  </si>
  <si>
    <t xml:space="preserve"> 2. 4. 1. 570</t>
  </si>
  <si>
    <t>Installationskabel symmetrisch BMK J-Y(St)Y 6x2x0,8 vorh.Rohr/Unterflurkanal</t>
  </si>
  <si>
    <t xml:space="preserve"> 2. 4. 1. 580</t>
  </si>
  <si>
    <t>Installationskabel symmetrisch BMK J-Y(St)Y 6x2x0,8 oberhalb Zwischendecke</t>
  </si>
  <si>
    <t xml:space="preserve"> 2. 4. 1. 590</t>
  </si>
  <si>
    <t>Installationskabel symmetrisch BMK J-Y(St)Y 10x2x0,8 Montagewand</t>
  </si>
  <si>
    <t xml:space="preserve"> 2. 4. 1. 600</t>
  </si>
  <si>
    <t>Installationskabel symmetrisch BMK J-Y(St)Y 10x2x0,8 vorh.Kabelrinne/Kanal</t>
  </si>
  <si>
    <t xml:space="preserve"> 2. 4. 1. 610</t>
  </si>
  <si>
    <t>Installationskabel symmetrisch BMK J-Y(St)Y 10x2x0,8 vorh.Rohr/Unterflurkanal</t>
  </si>
  <si>
    <t xml:space="preserve"> 2. 4. 1. 620</t>
  </si>
  <si>
    <t>Installationskabel symmetrisch BMK J-Y(St)Y 10x2x0,8 oberhalb Zwischendecke</t>
  </si>
  <si>
    <t xml:space="preserve"> 2. 4. 1. 630</t>
  </si>
  <si>
    <t>Installationskabel symmetrisch BMK J-Y(St)Y 20x2x0,8 Montagewand</t>
  </si>
  <si>
    <t xml:space="preserve"> 2. 4. 1. 640</t>
  </si>
  <si>
    <t>Installationskabel symmetrisch BMK J-Y(St)Y 20x2x0,8 vorh.Kabelrinne/Kanal</t>
  </si>
  <si>
    <t xml:space="preserve"> 2. 4. 1. 650</t>
  </si>
  <si>
    <t>Installationskabel symmetrisch BMK J-Y(St)Y 20x2x0,8 vorh.Rohr/Unterflurkanal</t>
  </si>
  <si>
    <t xml:space="preserve"> 2. 4. 1. 660</t>
  </si>
  <si>
    <t>Installationskabel symmetrisch BMK J-Y(St)Y 20x2x0,8 oberhalb Zwischendecke</t>
  </si>
  <si>
    <t xml:space="preserve"> 2. 4. 1. 670</t>
  </si>
  <si>
    <t>Installationskabel symmetrisch E30 JE-H(St)H 4x2x0,8 Bd Montagewand</t>
  </si>
  <si>
    <t xml:space="preserve"> 2. 4. 1. 680</t>
  </si>
  <si>
    <t>Installationskabel symmetrisch E30 JE-H(St)H 4x2x0,8 Bd vorh.Kabelrinne/Kanal</t>
  </si>
  <si>
    <t xml:space="preserve"> 2. 4. 1. 690</t>
  </si>
  <si>
    <t>Installationskabel symmetrisch E30 JE-H(St)H 4x2x0,8 Bd vorh.Rohr/Unterflurkanal</t>
  </si>
  <si>
    <t xml:space="preserve"> 2. 4. 1. 700</t>
  </si>
  <si>
    <t>Installationskabel symmetrisch E30 JE-H(St)H 4x2x0,8 Bd oberhalb Zwischendecke</t>
  </si>
  <si>
    <t xml:space="preserve"> 2. 4. 1. 710</t>
  </si>
  <si>
    <t>LWL-Universalkabel Mehrmodenfaser U-DQ(ZN)H 24G50/125 Montagewand</t>
  </si>
  <si>
    <t xml:space="preserve"> 2. 4. 1. 720</t>
  </si>
  <si>
    <t>LWL-Universalkabel Mehrmodenfaser U-DQ(ZN)H 24G50/125 vorh.Kabelrinne/Kanal</t>
  </si>
  <si>
    <t xml:space="preserve"> 2. 4. 1. 730</t>
  </si>
  <si>
    <t>LWL-Universalkabel Mehrmodenfaser U-DQ(ZN)H 24G50/125 vorh.Rohr/Unterflurkanal</t>
  </si>
  <si>
    <t xml:space="preserve"> 2. 4. 1. 740</t>
  </si>
  <si>
    <t>LWL-Universalkabel Mehrmodenfaser U-DQ(ZN)H 24G50/125 oberhalb Zwischendecke</t>
  </si>
  <si>
    <t xml:space="preserve"> 2. 4. 1. 750</t>
  </si>
  <si>
    <t>LWL-Außenkabel Mehrmodenfaser A-D(ZN)2YB2Y 12G50/125 Montagewand</t>
  </si>
  <si>
    <t xml:space="preserve"> 2. 4. 1. 760</t>
  </si>
  <si>
    <t>LWL-Außenkabel Mehrmodenfaser A-D(ZN)2YB2Y 12G50/125 vorh.Kabelrinne/Kanal</t>
  </si>
  <si>
    <t xml:space="preserve"> 2. 4. 1. 770</t>
  </si>
  <si>
    <t>LWL-Außenkabel Mehrmodenfaser A-D(ZN)2YB2Y 12G50/125 vorh.Rohr/Unterflurkanal</t>
  </si>
  <si>
    <t xml:space="preserve"> 2. 4. 1. 780</t>
  </si>
  <si>
    <t>LWL-Außenkabel Mehrmodenfaser A-D(ZN)2YB2Y 12G50/125 oberhalb Zwischendecke</t>
  </si>
  <si>
    <t xml:space="preserve"> 2. 4. 1. 790</t>
  </si>
  <si>
    <t>LWL-Außenkabel Mehrmodenfaser A-D(ZN)2YB2Y 12G50/125 vorh.Graben/Kabelkanalform</t>
  </si>
  <si>
    <t xml:space="preserve"> 2. 4. 1. 800</t>
  </si>
  <si>
    <t>Außenkabel symmetrisch A-2Y(L)2Y 50x2x0,6 STIII BD vorh.Graben/Kabelkanalform</t>
  </si>
  <si>
    <t xml:space="preserve"> 2. 4. 2</t>
  </si>
  <si>
    <t>KG 457 - Verteiler, Geräte</t>
  </si>
  <si>
    <t xml:space="preserve"> 2. 4. 2.  10</t>
  </si>
  <si>
    <t>VKA 2 (60 DA)</t>
  </si>
  <si>
    <t xml:space="preserve"> 2. 4. 2.  20</t>
  </si>
  <si>
    <t>VKA 4 (100 DA)</t>
  </si>
  <si>
    <t xml:space="preserve"> 2. 4. 2.  30</t>
  </si>
  <si>
    <t>VKA 8 (130 DA)</t>
  </si>
  <si>
    <t xml:space="preserve"> 2. 4. 2.  40</t>
  </si>
  <si>
    <t>LSA-Plus 2/20 DA An</t>
  </si>
  <si>
    <t xml:space="preserve"> 2. 4. 2.  50</t>
  </si>
  <si>
    <t>LSA-Plus 2/10 DA Tre</t>
  </si>
  <si>
    <t xml:space="preserve"> 2. 4. 2.  60</t>
  </si>
  <si>
    <t>LSA-Plus 2/10 DA Erd</t>
  </si>
  <si>
    <t xml:space="preserve"> 2. 4. 2.  70</t>
  </si>
  <si>
    <t>Ü-Spg Schutz LSA- 10</t>
  </si>
  <si>
    <t xml:space="preserve"> 2. 4. 3</t>
  </si>
  <si>
    <t>KG 457 - EDV-Verteilnetz</t>
  </si>
  <si>
    <t xml:space="preserve"> 2. 4. 3.  10</t>
  </si>
  <si>
    <t>LAN Verteilerschrank 800/42HE</t>
  </si>
  <si>
    <t xml:space="preserve"> 2. 4. 3.  20</t>
  </si>
  <si>
    <t>LAN Verteilerschrank 800/24HE</t>
  </si>
  <si>
    <t xml:space="preserve"> 2. 4. 3.  30</t>
  </si>
  <si>
    <t>Steckdosenleiste mit 6 Schukosteckdosen</t>
  </si>
  <si>
    <t xml:space="preserve"> 2. 4. 3.  40</t>
  </si>
  <si>
    <t>Doppelsteckdose</t>
  </si>
  <si>
    <t xml:space="preserve"> 2. 4. 3.  50</t>
  </si>
  <si>
    <t>Schaltschrankleuchte</t>
  </si>
  <si>
    <t xml:space="preserve"> 2. 4. 3.  60</t>
  </si>
  <si>
    <t>Kabelführungsrinnen-Panel, 1 HE</t>
  </si>
  <si>
    <t xml:space="preserve"> 2. 4. 3.  70</t>
  </si>
  <si>
    <t>Kabelmarker</t>
  </si>
  <si>
    <t xml:space="preserve"> 2. 4. 3.  80</t>
  </si>
  <si>
    <t>Datenkabel Horizontal-Steigbereich Kat.6A ungeschirmt 4x2xAWG23 UP Fräsen</t>
  </si>
  <si>
    <t xml:space="preserve"> 2. 4. 3.  90</t>
  </si>
  <si>
    <t>Datenkabel Horizontal-Steigbereich Kat.6A ungeschirmt 4x2xAWG23 Montagewand</t>
  </si>
  <si>
    <t xml:space="preserve"> 2. 4. 3. 100</t>
  </si>
  <si>
    <t>Datenkabel Horizontal-Steigbereich Kat.6A ungeschirmt 4x2xAWG23 vorh.Kabelrinne/Kanal</t>
  </si>
  <si>
    <t xml:space="preserve"> 2. 4. 3. 110</t>
  </si>
  <si>
    <t>Datenkabel Horizontal-Steigbereich Kat.6A ungeschirmt 4x2xAWG23 vorh.Rohr/Unterflurkanal</t>
  </si>
  <si>
    <t xml:space="preserve"> 2. 4. 3. 120</t>
  </si>
  <si>
    <t>Datenkabel Horizontal-Steigbereich Kat.6A ungeschirmt 4x2xAWG23 oberhalb Zwischendecke</t>
  </si>
  <si>
    <t xml:space="preserve"> 2. 4. 3. 130</t>
  </si>
  <si>
    <t>2-fach-Anschlussdose</t>
  </si>
  <si>
    <t xml:space="preserve"> 2. 4. 3. 140</t>
  </si>
  <si>
    <t>Kat6 Einzeljack</t>
  </si>
  <si>
    <t xml:space="preserve"> 2. 4. 3. 150</t>
  </si>
  <si>
    <t>Kat6 Verteilfeld 24</t>
  </si>
  <si>
    <t xml:space="preserve"> 2. 4. 3. 160</t>
  </si>
  <si>
    <t>Verteil- und Rangierfeld als Telefon</t>
  </si>
  <si>
    <t xml:space="preserve"> 2. 4. 3. 170</t>
  </si>
  <si>
    <t>Prüfen + Messen</t>
  </si>
  <si>
    <t xml:space="preserve"> 2. 4. 3. 180</t>
  </si>
  <si>
    <t>KG 480 Gebäude- und Anlagenautomation</t>
  </si>
  <si>
    <t xml:space="preserve"> 3. 1</t>
  </si>
  <si>
    <t>KG 482 - Automationseinrichtungen</t>
  </si>
  <si>
    <t xml:space="preserve"> 3. 1. 1</t>
  </si>
  <si>
    <t>Hinweis</t>
  </si>
  <si>
    <t xml:space="preserve"> 3. 1. 1.  10</t>
  </si>
  <si>
    <t>KNX - Busspannungsversorgung redundant</t>
  </si>
  <si>
    <t xml:space="preserve"> 3. 1. 1.  20</t>
  </si>
  <si>
    <t>KNX - Router IP</t>
  </si>
  <si>
    <t xml:space="preserve"> 3. 1. 1.  30</t>
  </si>
  <si>
    <t>KNX - Linien-/Bereichskoppler</t>
  </si>
  <si>
    <t xml:space="preserve"> 3. 1. 1.  40</t>
  </si>
  <si>
    <t>KNX - Schaltaktor</t>
  </si>
  <si>
    <t xml:space="preserve"> 3. 1. 1.  50</t>
  </si>
  <si>
    <t>KNX - Daligateway</t>
  </si>
  <si>
    <t xml:space="preserve"> 3. 1. 1.  60</t>
  </si>
  <si>
    <t>KNX - Heizungsaktor</t>
  </si>
  <si>
    <t xml:space="preserve"> 3. 1. 1.  70</t>
  </si>
  <si>
    <t>KNX - Rollladen-/Jalousieaktor</t>
  </si>
  <si>
    <t xml:space="preserve"> 3. 1. 1.  80</t>
  </si>
  <si>
    <t>KNX - Binäreingang</t>
  </si>
  <si>
    <t xml:space="preserve"> 3. 1. 1.  90</t>
  </si>
  <si>
    <t>KNX - Präsenzmelder</t>
  </si>
  <si>
    <t xml:space="preserve"> 3. 1. 1. 100</t>
  </si>
  <si>
    <t>KNX - Taster komplett mit Temperatursensor</t>
  </si>
  <si>
    <t xml:space="preserve"> 3. 1. 1. 110</t>
  </si>
  <si>
    <t>KNX - Energiezähler</t>
  </si>
  <si>
    <t xml:space="preserve"> 3. 1. 1. 120</t>
  </si>
  <si>
    <t>KNX - Luftgütesensor</t>
  </si>
  <si>
    <t xml:space="preserve"> 3. 1. 1. 130</t>
  </si>
  <si>
    <t>KNX - Wetterstation</t>
  </si>
  <si>
    <t>Visualisierung</t>
  </si>
  <si>
    <t xml:space="preserve"> 3. 1. 1. 140</t>
  </si>
  <si>
    <t>KNX - Visualisierung - Display</t>
  </si>
  <si>
    <t xml:space="preserve"> 3. 1. 1. 150</t>
  </si>
  <si>
    <t>KNX - Server</t>
  </si>
  <si>
    <t>Leitung</t>
  </si>
  <si>
    <t xml:space="preserve"> 3. 1. 1. 160</t>
  </si>
  <si>
    <t>Busltg KNX-TP YCYM 2x2x0,8 Montagewand</t>
  </si>
  <si>
    <t xml:space="preserve"> 3. 1. 1. 170</t>
  </si>
  <si>
    <t>Busltg KNX-TP YCYM 2x2x0,8 vorh.Kabelrinne/Kanal</t>
  </si>
  <si>
    <t xml:space="preserve"> 3. 1. 1. 180</t>
  </si>
  <si>
    <t>Busltg KNX-TP YCYM 2x2x0,8 vorh.Rohr/Unterflurkanal</t>
  </si>
  <si>
    <t xml:space="preserve"> 3. 1. 1. 190</t>
  </si>
  <si>
    <t>Busltg KNX-TP YCYM 2x2x0,8 oberhalb Zwischendecke</t>
  </si>
  <si>
    <t xml:space="preserve"> 3. 1. 1. 200</t>
  </si>
  <si>
    <t>Busltg KNX-TP YCYM 2x2x0,8 UP Fräsen</t>
  </si>
  <si>
    <t>KG 490 Sonstige Maßnahmen für Technische Anlagen</t>
  </si>
  <si>
    <t xml:space="preserve"> 4. 1</t>
  </si>
  <si>
    <t>KG 491 Baustelleneinrichtungen</t>
  </si>
  <si>
    <t xml:space="preserve"> 4. 1. 1</t>
  </si>
  <si>
    <t>KG 491 Baustromverteiler</t>
  </si>
  <si>
    <t xml:space="preserve"> 4. 1. 1.  10</t>
  </si>
  <si>
    <t>Baustromverteiler 63 A KG</t>
  </si>
  <si>
    <t>Mon</t>
  </si>
  <si>
    <t xml:space="preserve"> 4. 1. 1.  20</t>
  </si>
  <si>
    <t>Baustromverteiler 32 A EG</t>
  </si>
  <si>
    <t xml:space="preserve"> 4. 1. 1.  30</t>
  </si>
  <si>
    <t>Baustromverteiler 32 A OG</t>
  </si>
  <si>
    <t xml:space="preserve"> 4. 1. 1.  40</t>
  </si>
  <si>
    <t>Gummischlauchleitung H07RN-F 5G16</t>
  </si>
  <si>
    <t xml:space="preserve"> 4. 1. 1.  50</t>
  </si>
  <si>
    <t>CEE-Stecker 5polig 230/400V AC 32A IP44</t>
  </si>
  <si>
    <t xml:space="preserve"> 4. 1. 2</t>
  </si>
  <si>
    <t>KG 491 Baubeleuchtung</t>
  </si>
  <si>
    <t xml:space="preserve"> 4. 1. 2.  30</t>
  </si>
  <si>
    <t>Gummischlauchleitung H07RN-F 5G2,5</t>
  </si>
  <si>
    <t xml:space="preserve"> 4. 2</t>
  </si>
  <si>
    <t>KG 492 Gerüste</t>
  </si>
  <si>
    <t xml:space="preserve"> 4. 2. 1</t>
  </si>
  <si>
    <t xml:space="preserve"> 4. 2. 1.  10</t>
  </si>
  <si>
    <t>Montagegerüst</t>
  </si>
  <si>
    <t xml:space="preserve"> 4. 3</t>
  </si>
  <si>
    <t>KG 494 Abbruchmaßnahmen</t>
  </si>
  <si>
    <t xml:space="preserve"> 4. 3. 1</t>
  </si>
  <si>
    <t>KG 494 Demontage im/am Bestandsgebäude</t>
  </si>
  <si>
    <t xml:space="preserve"> 4. 3. 1.  10</t>
  </si>
  <si>
    <t>Demontage Außenleuchte</t>
  </si>
  <si>
    <t xml:space="preserve"> 4. 3. 1.  20</t>
  </si>
  <si>
    <t>Demontage Mastleuchte</t>
  </si>
  <si>
    <t xml:space="preserve"> 4. 3. 1.  30</t>
  </si>
  <si>
    <t>Demontage Leuchte</t>
  </si>
  <si>
    <t xml:space="preserve"> 4. 3. 1.  40</t>
  </si>
  <si>
    <t>Demontage Kabel und Leitungen</t>
  </si>
  <si>
    <t xml:space="preserve"> 4. 3. 1.  50</t>
  </si>
  <si>
    <t>Demontage Installationsgeräte</t>
  </si>
  <si>
    <t xml:space="preserve"> 4. 3. 1.  60</t>
  </si>
  <si>
    <t>Demontage Kabelkanäle</t>
  </si>
  <si>
    <t>KG 550 Technische Außenanlagen</t>
  </si>
  <si>
    <t xml:space="preserve"> 5. 1</t>
  </si>
  <si>
    <t>KG 556 Starkstromanlagen</t>
  </si>
  <si>
    <t xml:space="preserve"> 5. 1. 1</t>
  </si>
  <si>
    <t>KG 556 Außenbeleuchtung</t>
  </si>
  <si>
    <t xml:space="preserve"> 5. 1. 1.  10</t>
  </si>
  <si>
    <t>LED Fassadenstrahler</t>
  </si>
  <si>
    <t xml:space="preserve"> 5. 1. 1.  20</t>
  </si>
  <si>
    <t>Lichtmast 7 m Alu</t>
  </si>
  <si>
    <t xml:space="preserve"> 5. 1. 1.  30</t>
  </si>
  <si>
    <t>LED Mastleuchte symmetrisch</t>
  </si>
  <si>
    <t xml:space="preserve"> 5. 1. 1.  40</t>
  </si>
  <si>
    <t>LED Mastleuchte asymmetrisch-breit</t>
  </si>
  <si>
    <t xml:space="preserve"> 5. 1. 1.  50</t>
  </si>
  <si>
    <t>LED Lichtstele 5 m</t>
  </si>
  <si>
    <t xml:space="preserve"> 5. 1. 1.  60</t>
  </si>
  <si>
    <t>Einbaudownlight</t>
  </si>
  <si>
    <t xml:space="preserve"> 5. 1. 2</t>
  </si>
  <si>
    <t>KG 556 Kabel- und Leitungen</t>
  </si>
  <si>
    <t xml:space="preserve"> 5. 1. 2.  10</t>
  </si>
  <si>
    <t>NYY-J 5x2,5</t>
  </si>
  <si>
    <t xml:space="preserve"> 5. 1. 2.  20</t>
  </si>
  <si>
    <t>NYY-J 5x6</t>
  </si>
  <si>
    <t xml:space="preserve"> 5. 1. 2.  30</t>
  </si>
  <si>
    <t>Datenkabel Außen 4x2xAWG22</t>
  </si>
  <si>
    <t xml:space="preserve"> 5. 1. 2.  40</t>
  </si>
  <si>
    <t>Kabelschutzrohr AD 32mm</t>
  </si>
  <si>
    <t xml:space="preserve"> 5. 1. 2.  50</t>
  </si>
  <si>
    <t>Kabelschutzrohr AD 110mm</t>
  </si>
  <si>
    <t xml:space="preserve"> 5. 1. 2.  60</t>
  </si>
  <si>
    <t>Dichtstopen 32mm</t>
  </si>
  <si>
    <t xml:space="preserve"> 5. 1. 2.  70</t>
  </si>
  <si>
    <t>Dichstopfen 110mm</t>
  </si>
  <si>
    <t xml:space="preserve"> 5. 1. 2.  80</t>
  </si>
  <si>
    <t>Trassenwarnband</t>
  </si>
  <si>
    <t>Stck</t>
  </si>
  <si>
    <t>1.3.1.45</t>
  </si>
  <si>
    <t>NYCWY 4x25SM/ 16 Eca S</t>
  </si>
  <si>
    <t>1.3.1.60</t>
  </si>
  <si>
    <t>NYM-J 5x16</t>
  </si>
  <si>
    <t>1.3.2.185</t>
  </si>
  <si>
    <t>Kabelrinne 200x60 Funktionserhalt</t>
  </si>
  <si>
    <t>1.3.2.187</t>
  </si>
  <si>
    <t>Kabelrinne 300x60 Funktionserhalt</t>
  </si>
  <si>
    <t>1.3.2.188</t>
  </si>
  <si>
    <t>Kabelrinne, gelocht, mit einem Trennsteg, aus bandverzinktem</t>
  </si>
  <si>
    <t>1.3.2.271</t>
  </si>
  <si>
    <t>1.3.2.310</t>
  </si>
  <si>
    <t>Schweres Kunststoff-Stangenrohr, schwarz M20</t>
  </si>
  <si>
    <t>1.3.2.320</t>
  </si>
  <si>
    <t>Schweres Kunststoff-Stangenrohr, schwarz M25</t>
  </si>
  <si>
    <t>1.3.2.420</t>
  </si>
  <si>
    <t>Alu-Aufputzrohr M20 inkl. Metallschellen</t>
  </si>
  <si>
    <t>1.3.3.675</t>
  </si>
  <si>
    <t>Gummischlauchleitung H07RN-F 5x1,5 mm²</t>
  </si>
  <si>
    <t>1.3.3.701</t>
  </si>
  <si>
    <t>Installationsltg NYM-J 3x1,5 UP Fräsen</t>
  </si>
  <si>
    <t>1.3.3.702</t>
  </si>
  <si>
    <t>Installationsltg NYM-J 3x1,5 Montagewand</t>
  </si>
  <si>
    <t>1.3.3.703</t>
  </si>
  <si>
    <t>Installationsltg NYM-J 3x1,5 vorh.Kabelrinne/Kanal</t>
  </si>
  <si>
    <t>1.3.3.704</t>
  </si>
  <si>
    <t>Installationsltg NYM-J 3x1,5 vorh.Rohr/Unterflurkanal</t>
  </si>
  <si>
    <t>1.3.3.705</t>
  </si>
  <si>
    <t>Installationsltg NYM-J 3x1,5 oberhalb Zwischendecke</t>
  </si>
  <si>
    <t>1.3.3.706</t>
  </si>
  <si>
    <t>1.3.3.707</t>
  </si>
  <si>
    <t>1.3.3.708</t>
  </si>
  <si>
    <t>1.3.3.709</t>
  </si>
  <si>
    <t>1.3.3.710</t>
  </si>
  <si>
    <t>Installationsltg NYM-J 5x1,5 UP Fräsen</t>
  </si>
  <si>
    <t>1.3.3.711</t>
  </si>
  <si>
    <t>Installationsltg NYM-J 5x1,5 Montagewand</t>
  </si>
  <si>
    <t>1.3.3.712</t>
  </si>
  <si>
    <t>Installationsltg NYM-J 5x1,5 vorh.Kabelrinne/Kanal</t>
  </si>
  <si>
    <t>1.3.3.713</t>
  </si>
  <si>
    <t>Installationsltg NYM-J 5x1,5 vorh.Rohr/Unterflurkanal</t>
  </si>
  <si>
    <t>1.3.3.714</t>
  </si>
  <si>
    <t>Installationsltg NYM-J 5x1,5 oberhalb Zwischendecke</t>
  </si>
  <si>
    <t>1.3.3.715</t>
  </si>
  <si>
    <t>1.3.3.716</t>
  </si>
  <si>
    <t>1.3.3.717</t>
  </si>
  <si>
    <t>1.3.3.718</t>
  </si>
  <si>
    <t>1.3.3.719</t>
  </si>
  <si>
    <t>Installationsltg NYM-J 3x2,5 UP Fräsen</t>
  </si>
  <si>
    <t>1.3.3.720</t>
  </si>
  <si>
    <t>Installationsltg NYM-J 3x2,5 Montagewand</t>
  </si>
  <si>
    <t>1.3.3.721</t>
  </si>
  <si>
    <t>Installationsltg NYM-J 3x2,5 vorh.Kabelrinne/Kanal</t>
  </si>
  <si>
    <t>1.3.3.722</t>
  </si>
  <si>
    <t>Installationsltg NYM-J 3x2,5 vorh.Rohr/Unterflurkanal</t>
  </si>
  <si>
    <t>1.3.3.723</t>
  </si>
  <si>
    <t>Installationsltg NYM-J 3x2,5 oberhalb Zwischendecke</t>
  </si>
  <si>
    <t>1.3.3.724</t>
  </si>
  <si>
    <t>1.3.3.725</t>
  </si>
  <si>
    <t>1.3.3.726</t>
  </si>
  <si>
    <t>1.3.3.727</t>
  </si>
  <si>
    <t>1.3.3.728</t>
  </si>
  <si>
    <t>Installationsltg NYM-J 5x2,5 UP Fräsen</t>
  </si>
  <si>
    <t>1.3.3.729</t>
  </si>
  <si>
    <t>Installationsltg NYM-J 5x2,5 Montagewand</t>
  </si>
  <si>
    <t>1.3.3.730</t>
  </si>
  <si>
    <t>Installationsltg NYM-J 5x2,5 vorh.Kabelrinne/Kanal</t>
  </si>
  <si>
    <t>1.3.3.731</t>
  </si>
  <si>
    <t>Installationsltg NYM-J 5x2,5 vorh.Rohr/Unterflurkanal</t>
  </si>
  <si>
    <t>1.3.3.732</t>
  </si>
  <si>
    <t>Installationsltg NYM-J 5x2,5 oberhalb Zwischendecke</t>
  </si>
  <si>
    <t xml:space="preserve">m </t>
  </si>
  <si>
    <t>1.3.3.733</t>
  </si>
  <si>
    <t>1.3.3.734</t>
  </si>
  <si>
    <t>1.3.3.735</t>
  </si>
  <si>
    <t>1.3.3.736</t>
  </si>
  <si>
    <t>1.3.3.737</t>
  </si>
  <si>
    <t>Installationsltg NYM-J 5x4 UP Fräsen</t>
  </si>
  <si>
    <t>1.3.3.738</t>
  </si>
  <si>
    <t>Installationsltg NYM-J 5x4 Montagewand</t>
  </si>
  <si>
    <t>1.3.3.739</t>
  </si>
  <si>
    <t>Installationsltg NYM-J 5x4 vorh.Kabelrinne/Kanal</t>
  </si>
  <si>
    <t>1.3.3.740</t>
  </si>
  <si>
    <t>Installationsltg NYM-J 5x4 vorh.Rohr/Unterflurkanal</t>
  </si>
  <si>
    <t>1.3.3.741</t>
  </si>
  <si>
    <t>Installationsltg NYM-J 5x4 oberhalb Zwischendecke</t>
  </si>
  <si>
    <t>1.3.3.742</t>
  </si>
  <si>
    <t>Installationsltg NYM-J 5x16 Montagewand</t>
  </si>
  <si>
    <t>1.3.3.743</t>
  </si>
  <si>
    <t>Installationsltg NYM-J 5x16 vorh.Kabelrinne/Kanal</t>
  </si>
  <si>
    <t>1.3.3.744</t>
  </si>
  <si>
    <t>Installationsltg NYM-J 5x16 vorh.Rohr/Unterflurkanal</t>
  </si>
  <si>
    <t>1.3.3.745</t>
  </si>
  <si>
    <t>Installationsltg NYM-J 5x16 oberhalb Zwischendecke</t>
  </si>
  <si>
    <t>1.3.3.746</t>
  </si>
  <si>
    <t>Installationsltg NYM-J 1x2,5 Montagewand</t>
  </si>
  <si>
    <t>1.3.3.747</t>
  </si>
  <si>
    <t>Installationsltg NYM-J 1x2,5 vorh.Kabelrinne/Kanal</t>
  </si>
  <si>
    <t>1.3.3.748</t>
  </si>
  <si>
    <t>Installationsltg NYM-J 1x2,5 vorh.Rohr/Unterflurkanal</t>
  </si>
  <si>
    <t>1.3.3.749</t>
  </si>
  <si>
    <t>Installationsltg NYM-J 1x2,5 oberhalb Zwischendecke</t>
  </si>
  <si>
    <t>1.3.3.750</t>
  </si>
  <si>
    <t>Installationsltg NYM-J 1x4 Montagewand</t>
  </si>
  <si>
    <t>1.3.3.751</t>
  </si>
  <si>
    <t>Installationsltg NYM-J 1x4 vorh.Kabelrinne/Kanal</t>
  </si>
  <si>
    <t>1.3.3.752</t>
  </si>
  <si>
    <t>Installationsltg NYM-J 1x4 vorh.Rohr/Unterflurkanal</t>
  </si>
  <si>
    <t>1.3.3.753</t>
  </si>
  <si>
    <t>Installationsltg NYM-J 1x4 oberhalb Zwischendecke</t>
  </si>
  <si>
    <t>1.3.3.754</t>
  </si>
  <si>
    <t>Installationsltg NYM-J 1x6 Montagewand</t>
  </si>
  <si>
    <t>1.3.3.755</t>
  </si>
  <si>
    <t>Installationsltg NYM-J 1x6 vorh.Kabelrinne/Kanal</t>
  </si>
  <si>
    <t>1.3.3.756</t>
  </si>
  <si>
    <t>Installationsltg NYM-J 1x6 vorh.Rohr/Unterflurkanal</t>
  </si>
  <si>
    <t>1.3.3.757</t>
  </si>
  <si>
    <t>Installationsltg NYM-J 1x6 oberhalb Zwischendecke</t>
  </si>
  <si>
    <t>1.3.3.758</t>
  </si>
  <si>
    <t>Installationsltg NYM-J 1x16 Montagewand</t>
  </si>
  <si>
    <t>1.3.3.759</t>
  </si>
  <si>
    <t>Installationsltg NYM-J 1x16 vorh.Kabelrinne/Kanal</t>
  </si>
  <si>
    <t>1.3.3.760</t>
  </si>
  <si>
    <t>Installationsltg NYM-J 1x16 vorh.Rohr/Unterflurkanal</t>
  </si>
  <si>
    <t>1.3.3.761</t>
  </si>
  <si>
    <t>Installationsltg NYM-J 1x16 oberhalb Zwischendecke</t>
  </si>
  <si>
    <t>1.3.3.762</t>
  </si>
  <si>
    <t>Installationsltg NYM-J 3x4 UP Fräsen</t>
  </si>
  <si>
    <t>1.3.3.763</t>
  </si>
  <si>
    <t>Installationsltg NYM-J 3x4 Montagewand</t>
  </si>
  <si>
    <t>1.3.3.764</t>
  </si>
  <si>
    <t>Installationsltg NYM-J 3x4 vorh.Kabelrinne/Kanal</t>
  </si>
  <si>
    <t>1.3.3.765</t>
  </si>
  <si>
    <t>Installationsltg NYM-J 3x4 vorh.Rohr/Unterflurkanal</t>
  </si>
  <si>
    <t>1.3.3.766</t>
  </si>
  <si>
    <t>Installationsltg NYM-J 3x4 oberhalb Zwischendecke</t>
  </si>
  <si>
    <t>1.4.1.10</t>
  </si>
  <si>
    <t>1.4.1.20</t>
  </si>
  <si>
    <t>LED Anbauleuchte, rund</t>
  </si>
  <si>
    <t>1.4.1.30</t>
  </si>
  <si>
    <t>1.4.1.35</t>
  </si>
  <si>
    <t>1.4.1.50</t>
  </si>
  <si>
    <t>1.4.1.60</t>
  </si>
  <si>
    <t>LED Pendelleuchte rund 2,0m Durchmesser</t>
  </si>
  <si>
    <t>1.4.1.70</t>
  </si>
  <si>
    <t>LED Pendelleuchte Dekorativ im OG</t>
  </si>
  <si>
    <t>LED Pendel Dekorativ im OG</t>
  </si>
  <si>
    <t>1.4.1.80</t>
  </si>
  <si>
    <t>1.4.1.90</t>
  </si>
  <si>
    <t>1.4.1.100</t>
  </si>
  <si>
    <t>1.4.1.110</t>
  </si>
  <si>
    <t>1.4.2.110</t>
  </si>
  <si>
    <t>1.6.3.11</t>
  </si>
  <si>
    <t>Kernbohrungen 200 mm</t>
  </si>
  <si>
    <t>1.6.3.30</t>
  </si>
  <si>
    <t>Leitungsmanschette Ø 4-8 mm</t>
  </si>
  <si>
    <t>2.3.1.82</t>
  </si>
  <si>
    <t>Netzteil</t>
  </si>
  <si>
    <t>2.3.1.85</t>
  </si>
  <si>
    <t>Zentralenbaugruppe</t>
  </si>
  <si>
    <t>2.3.1.87</t>
  </si>
  <si>
    <t>Anzeige- und Bedienfeld-Baugruppe</t>
  </si>
  <si>
    <t>2.3.1.88</t>
  </si>
  <si>
    <t xml:space="preserve"> Loop Interface</t>
  </si>
  <si>
    <t>2.3.1.89</t>
  </si>
  <si>
    <t>Feuerwehr-Interface</t>
  </si>
  <si>
    <t>2.3.1.89.0</t>
  </si>
  <si>
    <t>Netzwerk Interface</t>
  </si>
  <si>
    <t>2.3.1.89.1</t>
  </si>
  <si>
    <t>Anzeige- und Bedienfeld</t>
  </si>
  <si>
    <t>2.3.1.650</t>
  </si>
  <si>
    <t>Feuerwehrleiter 2x8</t>
  </si>
  <si>
    <t>2.3.1.660</t>
  </si>
  <si>
    <t>Leiterhalterung für Feuerwehrleiter</t>
  </si>
  <si>
    <t>2.3.1.670</t>
  </si>
  <si>
    <t>Notstrombatterie 12V/26Ah/AGM</t>
  </si>
  <si>
    <t>2.3.1.680</t>
  </si>
  <si>
    <t>Sockelsirene weiß, 93dB, FI750, IP21</t>
  </si>
  <si>
    <t>2.4.3.190</t>
  </si>
  <si>
    <t>Kat6a Einzeljack</t>
  </si>
  <si>
    <t>2.4.3.200</t>
  </si>
  <si>
    <t>Kat7a AWG22/1500MHz Duplex UP Fräsen</t>
  </si>
  <si>
    <t>2.4.3.210</t>
  </si>
  <si>
    <t>Kat7a AWG22/1500MHz Duplex Montagewand</t>
  </si>
  <si>
    <t>2.4.3.220</t>
  </si>
  <si>
    <t>Kat7a AWG22/1500MHz Duplex vorh. Kabelrinne/Kanal</t>
  </si>
  <si>
    <t>2.4.3.230</t>
  </si>
  <si>
    <t>Kat7a AWG22/1500MHz Duplex vorh. Rohr/Unterflurkanal</t>
  </si>
  <si>
    <t>2.4.3.240</t>
  </si>
  <si>
    <t>Kat7a AWG22/1500MHz Duplex oberhalb Zwischendecke</t>
  </si>
  <si>
    <t>2.4.3.250</t>
  </si>
  <si>
    <t>Kat7a AWG22/1500MHz Simplex UP Fräsen</t>
  </si>
  <si>
    <t>2.4.3.260</t>
  </si>
  <si>
    <t>Kat7a AWG22/1500MHz Simplex Montagewand</t>
  </si>
  <si>
    <t>2.4.3.270</t>
  </si>
  <si>
    <t>Kat7a AWG22/1500MHz Simplex vorh. Kabelrinne/Kanal</t>
  </si>
  <si>
    <t>2.4.3.280</t>
  </si>
  <si>
    <t>Kat7a AWG22/1500MHz Simplex vorh. Rohr/Unterflurkanal</t>
  </si>
  <si>
    <t>2.4.3.290</t>
  </si>
  <si>
    <t>Kat7a AWG22/1500MHz Simplex oberhalb Zwischendecke</t>
  </si>
  <si>
    <t>3.1.1.1</t>
  </si>
  <si>
    <t>KNX Tasterschnittstelle 4-fach</t>
  </si>
  <si>
    <t>Zusatz Leistungen zur 1.TR</t>
  </si>
  <si>
    <t xml:space="preserve"> 1. 6. 3.  21</t>
  </si>
  <si>
    <t>Bohrungen bis Ø 50mm in Beton</t>
  </si>
  <si>
    <t xml:space="preserve"> 1. 6. 3.  31</t>
  </si>
  <si>
    <t>Bohrungen bis Ø 50mm durch Holz und GK Wand</t>
  </si>
  <si>
    <t>Pos</t>
  </si>
  <si>
    <t>Artikel</t>
  </si>
  <si>
    <t>Bezeichnung</t>
  </si>
  <si>
    <t>Mengeneinheit</t>
  </si>
  <si>
    <t>Menge SOLL</t>
  </si>
  <si>
    <t>Menge IST</t>
  </si>
  <si>
    <t>Einzelpreis</t>
  </si>
  <si>
    <t>Gesamt</t>
  </si>
  <si>
    <t>NYM 3x1,5</t>
  </si>
  <si>
    <t>NYM 3x2,5</t>
  </si>
  <si>
    <t>NYM 5x1,5</t>
  </si>
  <si>
    <t>NYM 5x6</t>
  </si>
  <si>
    <t>BUS KNX 2x2x0,8</t>
  </si>
  <si>
    <t>DATEN SIMPLEX</t>
  </si>
  <si>
    <t>ELA YSTY 4x2x0,8</t>
  </si>
  <si>
    <t>DATEN CAT 7 Erdkabel</t>
  </si>
  <si>
    <t>BMK YSTY 2x2x0,8</t>
  </si>
  <si>
    <t>Menge bestellt</t>
  </si>
  <si>
    <t>Menge verbaut</t>
  </si>
  <si>
    <t>Auf Baustelle</t>
  </si>
  <si>
    <t>%</t>
  </si>
  <si>
    <t>plus %</t>
  </si>
  <si>
    <t>DATEN DUPLEX</t>
  </si>
  <si>
    <t>Kumulierte bestellte/ verbaute Menge</t>
  </si>
  <si>
    <t xml:space="preserve">  NYM-J 3x1,5 Montagewand</t>
  </si>
  <si>
    <t xml:space="preserve">  NYM-J 3x1,5 oberhalb Zwischendecke</t>
  </si>
  <si>
    <t xml:space="preserve">  NYM-J 3x2,5 Montagewand</t>
  </si>
  <si>
    <t xml:space="preserve">  NYM-J 3x2,5 oberhalb Zwischendecke</t>
  </si>
  <si>
    <t xml:space="preserve">  NYM-J 5x1,5 Montagewand</t>
  </si>
  <si>
    <t xml:space="preserve">  NYM-J 5x1,5 oberhalb Zwischendecke</t>
  </si>
  <si>
    <t xml:space="preserve">  NYM-J 5x2,5 Montagewand</t>
  </si>
  <si>
    <t xml:space="preserve">  NYM-J 5x2,5 oberhalb Zwischendecke</t>
  </si>
  <si>
    <t xml:space="preserve">  KNX-TP YCYM 2x2x0,8 Montagewand</t>
  </si>
  <si>
    <t xml:space="preserve">  KNX-TP YCYM 2x2x0,8 oberhalb Zwischendecke</t>
  </si>
  <si>
    <t xml:space="preserve"> Kat.6A ungeschirmt 4x2xAWG23 Montagewand</t>
  </si>
  <si>
    <t xml:space="preserve"> Kat.6A ungeschirmt 4x2xAWG23 oberhalb Zwischendecke</t>
  </si>
  <si>
    <t>BMK J-Y(St)Y 2x2x0,8 Montagewand</t>
  </si>
  <si>
    <t>BMK J-Y(St)Y 2x2x0,8 oberhalb Zwischendecke</t>
  </si>
  <si>
    <t>Kabel/ Stromkreis</t>
  </si>
  <si>
    <t>ELA J-Y(St)Y 4x2x0,8 Bd Montagewand</t>
  </si>
  <si>
    <t>ELA J-Y(St)Y 4x2x0,8 Bd oberhalb Zwischendecke</t>
  </si>
  <si>
    <t>E30 JE-H(St)H 4x2x0,8 Bd Montagewand</t>
  </si>
  <si>
    <t>E30 JE-H(St)H 4x2x0,8 Bd oberhalb Zwischendecke</t>
  </si>
  <si>
    <t>NYM 5x2,5</t>
  </si>
  <si>
    <t>KNX 2x2x0,8</t>
  </si>
  <si>
    <t>Daten Kat Duplex</t>
  </si>
  <si>
    <t>ELA 4x2x0,8</t>
  </si>
  <si>
    <t>BMK 2x2x0,8</t>
  </si>
  <si>
    <t>E30 4x2x0,8</t>
  </si>
  <si>
    <t xml:space="preserve">  NYM-J 3x1,5 vorh.Kabelrinne/ Kanal</t>
  </si>
  <si>
    <t xml:space="preserve">  NYM-J 3x2,5 vorh.Kabelrinne/ Kanal</t>
  </si>
  <si>
    <t xml:space="preserve">  NYM-J 5x1,5 vorh.Kabelrinne/ Kanal</t>
  </si>
  <si>
    <t xml:space="preserve">  NYM-J 5x2,5 vorh.Kabelrinne/ Kanal</t>
  </si>
  <si>
    <t xml:space="preserve">  KNX-TP YCYM 2x2x0,8 vorh.Kabelrinne/ Kanal</t>
  </si>
  <si>
    <t xml:space="preserve"> Kat.6A ungeschirmt 4x2xAWG23 vorh.Kabelrinne/ Kanal</t>
  </si>
  <si>
    <t>ELA J-Y(St)Y 4x2x0,8 Bd vorh.Kabelrinne/ Kanal</t>
  </si>
  <si>
    <t>BMK J-Y(St)Y 2x2x0,8 vorh.Kabelrinne/ Kanal</t>
  </si>
  <si>
    <t>E30 JE-H(St)H 4x2x0,8 Bd vorh.Kabelrinne/ Kanal</t>
  </si>
  <si>
    <t>Summe Meter bestellt</t>
  </si>
  <si>
    <t>Summe Meter gemeldet</t>
  </si>
  <si>
    <t>Summe Meter Aufmaß</t>
  </si>
  <si>
    <t>NYCWY 4x150</t>
  </si>
  <si>
    <t>NYCWY 4x25</t>
  </si>
  <si>
    <t>NYCWY 4x35</t>
  </si>
  <si>
    <t>Firma Hebrock Kommission GS Berkel</t>
  </si>
  <si>
    <t>06.11.2025 Gs Berkel</t>
  </si>
  <si>
    <t>3010118398</t>
  </si>
  <si>
    <t>1009004798</t>
  </si>
  <si>
    <t>1 Cellpack M 15/Euroline/EG Giessharz-Verb</t>
  </si>
  <si>
    <t>14.10.2025 GS Berkel</t>
  </si>
  <si>
    <t>3009538752</t>
  </si>
  <si>
    <t>1009005019</t>
  </si>
  <si>
    <t>100 NIEDAX FLM 6X12 Schraube</t>
  </si>
  <si>
    <t>31.10.2025 GS Berkel</t>
  </si>
  <si>
    <t>3009975320</t>
  </si>
  <si>
    <t>18.09.2025</t>
  </si>
  <si>
    <t>3009034000</t>
  </si>
  <si>
    <t>1009008680</t>
  </si>
  <si>
    <t>300 OBO BETT. 2026 25 LGR Haft-Clip m.Nagel</t>
  </si>
  <si>
    <t>11.09.2025 GS Berkel</t>
  </si>
  <si>
    <t>3008870486</t>
  </si>
  <si>
    <t>1009009018</t>
  </si>
  <si>
    <t>200 OBO BETT. 2032 SP Kabelklammer</t>
  </si>
  <si>
    <t>17.10.2025 Gross Berkel</t>
  </si>
  <si>
    <t>3009637582</t>
  </si>
  <si>
    <t>100 OBO BETT. 2032 SP Kabelklammer</t>
  </si>
  <si>
    <t>27.09.2025 GS Berkel</t>
  </si>
  <si>
    <t>3009215892</t>
  </si>
  <si>
    <t>1009012789</t>
  </si>
  <si>
    <t>200 WAGO 243-204 Verbindungsdosenklemme</t>
  </si>
  <si>
    <t>1009012790</t>
  </si>
  <si>
    <t>200 WAGO 243-304 Verb.dosenklemme</t>
  </si>
  <si>
    <t>1009012791</t>
  </si>
  <si>
    <t>200 WAGO 243-504 Verb.dosenklemme</t>
  </si>
  <si>
    <t>1009012792</t>
  </si>
  <si>
    <t>200 WAGO 243-804 Verb.dosenklemme</t>
  </si>
  <si>
    <t>09.10.2025 Gross Berkel</t>
  </si>
  <si>
    <t>3009465848</t>
  </si>
  <si>
    <t>1009017033</t>
  </si>
  <si>
    <t>60 Spelsberg i 12-L Abzweigkasten</t>
  </si>
  <si>
    <t>3009033800</t>
  </si>
  <si>
    <t>100 Spelsberg i 12-L Abzweigkasten</t>
  </si>
  <si>
    <t>27.10.2025 Gs Berkel</t>
  </si>
  <si>
    <t>3009866786</t>
  </si>
  <si>
    <t>1009020350</t>
  </si>
  <si>
    <t>600 CIMCO 181368 Kabelbinder</t>
  </si>
  <si>
    <t>27.09.2025 Gs Berkel</t>
  </si>
  <si>
    <t>3009215898</t>
  </si>
  <si>
    <t>1009020374</t>
  </si>
  <si>
    <t>500 CIMCO 181878 Kabelbinder</t>
  </si>
  <si>
    <t>08.10.2025 Gross Berkel</t>
  </si>
  <si>
    <t>3009417205</t>
  </si>
  <si>
    <t>1009020403</t>
  </si>
  <si>
    <t>1.000,00 CIMCO 181378 Kabelbinder</t>
  </si>
  <si>
    <t>25.10.2025 Gs Berkel</t>
  </si>
  <si>
    <t>3009832784</t>
  </si>
  <si>
    <t>1009022009</t>
  </si>
  <si>
    <t>1 OBO BETT. 251 8-10 Kreuzverbinder</t>
  </si>
  <si>
    <t>03.10.2025 GS Berkel</t>
  </si>
  <si>
    <t>3009338458</t>
  </si>
  <si>
    <t>14.10.2025 Gs Berkel</t>
  </si>
  <si>
    <t>3009558630</t>
  </si>
  <si>
    <t>24.10.2025 GS Berkel</t>
  </si>
  <si>
    <t>3009820189</t>
  </si>
  <si>
    <t>23.10.2025 GS Berkel</t>
  </si>
  <si>
    <t>3009775113</t>
  </si>
  <si>
    <t>1009222345</t>
  </si>
  <si>
    <t>100 Hellermann T150R-W-BK-C1 Kabelbinder</t>
  </si>
  <si>
    <t>1009324865</t>
  </si>
  <si>
    <t>60 Fränkische FPKu-EM-F 25 gr Kunststoff-St</t>
  </si>
  <si>
    <t>1009366809</t>
  </si>
  <si>
    <t>300 OBO BETT. 2955 M25 Quick-Klemmschelle</t>
  </si>
  <si>
    <t>100 OBO BETT. 2955 M25 Quick-Klemmschelle</t>
  </si>
  <si>
    <t>1009411224</t>
  </si>
  <si>
    <t>15 Busch-J. 20/2 EW-53 Schuko-Steckdose 2f.</t>
  </si>
  <si>
    <t>1009414988</t>
  </si>
  <si>
    <t>30 Busch-J. 2601/6 W-53 Wechselschalter</t>
  </si>
  <si>
    <t>1009415291</t>
  </si>
  <si>
    <t>1 Busch-J. 2621 W-53 Taster</t>
  </si>
  <si>
    <t>1009425685</t>
  </si>
  <si>
    <t>600 OBO BETT. 4758T 4.0x40 Golden-Sprintschr</t>
  </si>
  <si>
    <t>1009501979</t>
  </si>
  <si>
    <t>1 CIMCO 145001 Müllbeutel 120l, blau</t>
  </si>
  <si>
    <t>1009559759</t>
  </si>
  <si>
    <t>6 OBO BETT. LG 620 VS 3 FS Kabelleiter gel</t>
  </si>
  <si>
    <t>1009576826</t>
  </si>
  <si>
    <t>9 NIEDAX STL 60.203/3 Steigetrasse</t>
  </si>
  <si>
    <t>1009576828</t>
  </si>
  <si>
    <t>15 NIEDAX STL 60.403/3 Steigetrasse</t>
  </si>
  <si>
    <t>1009582071</t>
  </si>
  <si>
    <t>200 Hellermann UB385C-B-PA66-BK-C1 Kabelbind</t>
  </si>
  <si>
    <t>13.10.2025 Berkel GS</t>
  </si>
  <si>
    <t>3009517660</t>
  </si>
  <si>
    <t>1009657426</t>
  </si>
  <si>
    <t>50 NIEDAX SHS 15 Sammelhalter</t>
  </si>
  <si>
    <t>1009691296</t>
  </si>
  <si>
    <t>500 DAE JEHStH E30 2x2x0,8rt S Instaltg halo</t>
  </si>
  <si>
    <t>1009744713</t>
  </si>
  <si>
    <t>1.000,00 Hellermann T80I-N66-NA Kabelbinder</t>
  </si>
  <si>
    <t>1009746895</t>
  </si>
  <si>
    <t>30 Busch-J. 20 EW-53 Schuko-Steckdose gr/bl</t>
  </si>
  <si>
    <t>1009905366</t>
  </si>
  <si>
    <t>100 OBO BETT. 2031 40 SP Grip-Sammelhalterun</t>
  </si>
  <si>
    <t>1009918247</t>
  </si>
  <si>
    <t>1 DEHN EFPMM1012V4A #478112 Erdungsfestpun</t>
  </si>
  <si>
    <t>1009945578</t>
  </si>
  <si>
    <t>3 NIEDAX RLVC 60.300 Kabelrinne</t>
  </si>
  <si>
    <t>1009952515</t>
  </si>
  <si>
    <t>20 KAISER 9459-03 Dosenschott System</t>
  </si>
  <si>
    <t>30 KAISER 9459-03 Dosenschott System</t>
  </si>
  <si>
    <t>1009954482</t>
  </si>
  <si>
    <t>400 WAGO 2273-205 Verbindungsdosenklemme</t>
  </si>
  <si>
    <t>23.09.2025 Gs Berkel</t>
  </si>
  <si>
    <t>3009133377</t>
  </si>
  <si>
    <t>1009974757</t>
  </si>
  <si>
    <t>20 KAISER 9059-61 Luftdichtungsmanschette</t>
  </si>
  <si>
    <t>1010087705</t>
  </si>
  <si>
    <t>3 Hellermann HTAPE-FLEX15 (VE10) PVC Isoli</t>
  </si>
  <si>
    <t>1010092024</t>
  </si>
  <si>
    <t>300 WAGO 221-412 Compact-Verbindungsklemme</t>
  </si>
  <si>
    <t>1010092025</t>
  </si>
  <si>
    <t>300 WAGO 221-413 Compact-Verbindungsklemme</t>
  </si>
  <si>
    <t>1010142889</t>
  </si>
  <si>
    <t>10 NIEDAX SHS 80 S Sammelhalter</t>
  </si>
  <si>
    <t>3009468651</t>
  </si>
  <si>
    <t>1010370528</t>
  </si>
  <si>
    <t>8 ESYLUX MD 180 BASIC weiss Bewegungsmelde</t>
  </si>
  <si>
    <t>22.10.2025 GS Berkel</t>
  </si>
  <si>
    <t>3009723547</t>
  </si>
  <si>
    <t>1 ESYLUX MD 180 BASIC weiss Bewegungsmelde</t>
  </si>
  <si>
    <t>1010679865</t>
  </si>
  <si>
    <t>200 KAISER 9064-02 Hohlwand Geräte-Verb.dose</t>
  </si>
  <si>
    <t>1010851769</t>
  </si>
  <si>
    <t>2 Walther FW110506CC CEE NEO Wandsteckdose</t>
  </si>
  <si>
    <t>03.11.2025 Gross Berkel</t>
  </si>
  <si>
    <t>3010012726</t>
  </si>
  <si>
    <t>1010891518</t>
  </si>
  <si>
    <t>50Fränkische FBY-EL-F co2ntrol 25 Kunststo</t>
  </si>
  <si>
    <t>100 Fränkische FBY-EL-F co2ntrol 25 Kunststo</t>
  </si>
  <si>
    <t>1010891519</t>
  </si>
  <si>
    <t>100Fränkische FBY-EL-F co2ntrol 32 Kunststo</t>
  </si>
  <si>
    <t>1011378174</t>
  </si>
  <si>
    <t>1 Walther FW130506SK Wandsteckdose</t>
  </si>
  <si>
    <t>1011412720</t>
  </si>
  <si>
    <t>50 Pracht LUNA BL ONE #5800224 LED-Feuchtra</t>
  </si>
  <si>
    <t>24.10.2025 Gs Berkel</t>
  </si>
  <si>
    <t>3009821463</t>
  </si>
  <si>
    <t>1011620030</t>
  </si>
  <si>
    <t>4 EVN IC652301204025M LED Strip 25m, mit T</t>
  </si>
  <si>
    <t>NYM 3x4</t>
  </si>
  <si>
    <t>NYM 1x6</t>
  </si>
  <si>
    <t>Netto-Preis Sonepar</t>
  </si>
  <si>
    <t>DAE JEHStH E30 4x2x0,8rt</t>
  </si>
  <si>
    <t>NYM 5x25</t>
  </si>
  <si>
    <t>DAE JEHStH E30 2x2x0,8rt</t>
  </si>
  <si>
    <t>im DG</t>
  </si>
  <si>
    <t>Summe Verlegt</t>
  </si>
  <si>
    <t>Brandschutzdose</t>
  </si>
  <si>
    <t xml:space="preserve">  NYM-J 3x4 Montagewand</t>
  </si>
  <si>
    <t xml:space="preserve">  NYM-J 3x4 vorh.Kabelrinne/ Kanal</t>
  </si>
  <si>
    <t xml:space="preserve">  NYM-J 3x4 oberhalb Zwischendecke</t>
  </si>
  <si>
    <t>A.2.22 - UV 05 EG Unterrichtsbereich</t>
  </si>
  <si>
    <t>1.3.4.40</t>
  </si>
  <si>
    <t>Daten Kat Simplex</t>
  </si>
  <si>
    <t>Stk.</t>
  </si>
  <si>
    <t>BMK YSTY 10x2x0,8</t>
  </si>
  <si>
    <t>BMK J-Y(St)Y 10x2x0,8 Montagewand</t>
  </si>
  <si>
    <t>BMK J-Y(St)Y 10x2x0,8 vorh.Kabelrinne/ Kanal</t>
  </si>
  <si>
    <t>BMK J-Y(St)Y 10x2x0,8 oberhalb Zwischendecke</t>
  </si>
  <si>
    <t>Gesamt verbaut</t>
  </si>
  <si>
    <t>Gesamt geplant</t>
  </si>
  <si>
    <t>Warenwert ca.  Euro Netto</t>
  </si>
  <si>
    <t>BMK 10x2x0,8 für Feuerwehr</t>
  </si>
  <si>
    <t>SHS 15 Sammelhalter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</si>
</sst>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0&quot;m&quot;"/>
    <numFmt numFmtId="166" formatCode="0\ &quot;Stk.&quot;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5C3F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CEC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1" fillId="0" borderId="0" applyNumberFormat="0" applyFill="0" applyBorder="0" applyAlignment="0" applyProtection="0"/>
    <xf numFmtId="0" fontId="10" fillId="17" borderId="9" applyNumberFormat="0" applyFont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5" applyNumberFormat="0" applyAlignment="0" applyProtection="0"/>
    <xf numFmtId="0" fontId="19" fillId="15" borderId="6" applyNumberFormat="0" applyAlignment="0" applyProtection="0"/>
    <xf numFmtId="0" fontId="20" fillId="15" borderId="5" applyNumberFormat="0" applyAlignment="0" applyProtection="0"/>
    <xf numFmtId="0" fontId="21" fillId="0" borderId="7" applyNumberFormat="0" applyFill="0" applyAlignment="0" applyProtection="0"/>
    <xf numFmtId="0" fontId="22" fillId="16" borderId="8" applyNumberFormat="0" applyAlignment="0" applyProtection="0"/>
    <xf numFmtId="0" fontId="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24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4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4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4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4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24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4" fontId="0" fillId="0" borderId="0" xfId="0" applyNumberFormat="1"/>
    <xf numFmtId="3" fontId="0" fillId="0" borderId="0" xfId="0" applyNumberFormat="1"/>
    <xf numFmtId="16" fontId="0" fillId="0" borderId="0" xfId="0" applyNumberFormat="1"/>
    <xf numFmtId="14" fontId="0" fillId="0" borderId="0" xfId="0" applyNumberFormat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3" fillId="0" borderId="0" xfId="0" applyFont="1"/>
    <xf numFmtId="164" fontId="0" fillId="0" borderId="0" xfId="0" applyNumberFormat="1"/>
    <xf numFmtId="164" fontId="0" fillId="5" borderId="0" xfId="0" applyNumberFormat="1" applyFill="1"/>
    <xf numFmtId="164" fontId="0" fillId="4" borderId="0" xfId="0" applyNumberFormat="1" applyFill="1"/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7" borderId="0" xfId="0" applyFont="1" applyFill="1"/>
    <xf numFmtId="164" fontId="5" fillId="7" borderId="0" xfId="0" applyNumberFormat="1" applyFont="1" applyFill="1"/>
    <xf numFmtId="0" fontId="5" fillId="7" borderId="0" xfId="0" applyFont="1" applyFill="1" applyAlignment="1">
      <alignment horizontal="center"/>
    </xf>
    <xf numFmtId="0" fontId="0" fillId="8" borderId="0" xfId="0" applyFill="1"/>
    <xf numFmtId="164" fontId="0" fillId="8" borderId="0" xfId="0" applyNumberFormat="1" applyFill="1"/>
    <xf numFmtId="164" fontId="6" fillId="9" borderId="0" xfId="0" applyNumberFormat="1" applyFont="1" applyFill="1"/>
    <xf numFmtId="0" fontId="0" fillId="7" borderId="0" xfId="0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4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horizontal="center" textRotation="90" wrapText="1"/>
    </xf>
    <xf numFmtId="164" fontId="1" fillId="0" borderId="0" xfId="0" applyNumberFormat="1" applyFont="1" applyAlignment="1">
      <alignment horizontal="center" textRotation="90"/>
    </xf>
    <xf numFmtId="164" fontId="1" fillId="7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8" fillId="10" borderId="0" xfId="0" applyNumberFormat="1" applyFont="1" applyFill="1" applyAlignment="1">
      <alignment horizontal="center" vertical="center"/>
    </xf>
    <xf numFmtId="165" fontId="0" fillId="0" borderId="0" xfId="0" applyNumberFormat="1"/>
    <xf numFmtId="165" fontId="0" fillId="6" borderId="0" xfId="0" applyNumberFormat="1" applyFill="1"/>
    <xf numFmtId="17" fontId="1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 textRotation="90" wrapText="1"/>
    </xf>
    <xf numFmtId="0" fontId="0" fillId="2" borderId="0" xfId="0" applyFill="1"/>
    <xf numFmtId="0" fontId="6" fillId="0" borderId="0" xfId="0" applyFont="1" applyAlignment="1">
      <alignment vertical="center" wrapText="1"/>
    </xf>
    <xf numFmtId="164" fontId="6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6" fontId="0" fillId="0" borderId="0" xfId="0" applyNumberFormat="1"/>
    <xf numFmtId="164" fontId="1" fillId="7" borderId="0" xfId="0" applyNumberFormat="1" applyFont="1" applyFill="1"/>
    <xf numFmtId="164" fontId="6" fillId="0" borderId="0" xfId="0" applyNumberFormat="1" applyFont="1" applyFill="1"/>
    <xf numFmtId="164" fontId="4" fillId="0" borderId="0" xfId="0" applyNumberFormat="1" applyFont="1"/>
    <xf numFmtId="164" fontId="9" fillId="0" borderId="0" xfId="0" applyNumberFormat="1" applyFont="1" applyAlignment="1">
      <alignment vertical="center"/>
    </xf>
    <xf numFmtId="164" fontId="0" fillId="0" borderId="0" xfId="0" applyNumberFormat="1" applyAlignment="1">
      <alignment horizontal="right"/>
    </xf>
    <xf numFmtId="0" fontId="0" fillId="0" borderId="0" xfId="0"/>
    <xf numFmtId="0" fontId="0" fillId="0" borderId="0" xfId="0" applyFill="1"/>
    <xf numFmtId="0" fontId="4" fillId="0" borderId="0" xfId="0" applyFont="1" applyFill="1" applyAlignment="1">
      <alignment horizontal="center" vertical="center"/>
    </xf>
    <xf numFmtId="0" fontId="16" fillId="12" borderId="0" xfId="8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42">
    <cellStyle name="20 % - Akzent1 2" xfId="19" xr:uid="{DE473A77-1935-4D97-8DA8-D53C4E306698}"/>
    <cellStyle name="20 % - Akzent2 2" xfId="23" xr:uid="{1A4C122B-4904-45DA-B66B-3ACF832C1609}"/>
    <cellStyle name="20 % - Akzent3 2" xfId="27" xr:uid="{1706589A-F7DF-4309-8483-16F274C7F4FD}"/>
    <cellStyle name="20 % - Akzent4 2" xfId="31" xr:uid="{B586E80A-60CE-43B0-AECB-C471D6D5979E}"/>
    <cellStyle name="20 % - Akzent5 2" xfId="35" xr:uid="{D039301C-E89E-4597-B11E-6EE2A47E69FD}"/>
    <cellStyle name="20 % - Akzent6 2" xfId="39" xr:uid="{DA0A4CCE-4D65-4B42-98A3-9A02FCAB102B}"/>
    <cellStyle name="40 % - Akzent1 2" xfId="20" xr:uid="{CA03688D-51D1-4BD6-879A-3C4A97C4E8A0}"/>
    <cellStyle name="40 % - Akzent2 2" xfId="24" xr:uid="{DA677A18-0899-4710-A816-444F3BD91486}"/>
    <cellStyle name="40 % - Akzent3 2" xfId="28" xr:uid="{4BC18CA7-18A3-4D95-B7C9-E4A04C7900AB}"/>
    <cellStyle name="40 % - Akzent4 2" xfId="32" xr:uid="{EBCACE1F-CB8B-4CE8-9C38-4D4F9E87FCAB}"/>
    <cellStyle name="40 % - Akzent5 2" xfId="36" xr:uid="{EA746063-BEC0-41E5-AD41-76EFFC4AD6AF}"/>
    <cellStyle name="40 % - Akzent6 2" xfId="40" xr:uid="{3F3ABD41-1CC9-4555-916B-CA59EC9DEC10}"/>
    <cellStyle name="60 % - Akzent1 2" xfId="21" xr:uid="{33A55B9F-B67D-4353-9FE1-B9321B4C863F}"/>
    <cellStyle name="60 % - Akzent2 2" xfId="25" xr:uid="{FB677D20-D546-4FEC-AB80-7075CF3660A4}"/>
    <cellStyle name="60 % - Akzent3 2" xfId="29" xr:uid="{CAB59A74-BB59-4A43-BEF5-3BA54B9909C7}"/>
    <cellStyle name="60 % - Akzent4 2" xfId="33" xr:uid="{7FDA9D7E-CF75-4DFF-AEBC-4608C6F0E0AA}"/>
    <cellStyle name="60 % - Akzent5 2" xfId="37" xr:uid="{2662E0BE-E088-490B-A515-5F86945A6327}"/>
    <cellStyle name="60 % - Akzent6 2" xfId="41" xr:uid="{BB70779A-C6AA-4F97-93DE-22A739BD48F8}"/>
    <cellStyle name="Akzent1 2" xfId="18" xr:uid="{1907C281-2DF2-4D1B-92EE-AE894D4EE63A}"/>
    <cellStyle name="Akzent2 2" xfId="22" xr:uid="{B3B2455C-FC8E-46F8-84D5-8D79388836B8}"/>
    <cellStyle name="Akzent3 2" xfId="26" xr:uid="{B283D5B2-8179-48C9-95E8-54A0CDF73C75}"/>
    <cellStyle name="Akzent4 2" xfId="30" xr:uid="{43A914F9-81B9-453D-BC21-756640FB5072}"/>
    <cellStyle name="Akzent5 2" xfId="34" xr:uid="{EB35B5DD-7B53-486B-84F1-7CE9533A0689}"/>
    <cellStyle name="Akzent6 2" xfId="38" xr:uid="{65B5F88A-E1F9-4391-B0AB-B20B35536CBE}"/>
    <cellStyle name="Ausgabe 2" xfId="11" xr:uid="{76FC8C7B-58A4-4F5A-A897-A7580857690D}"/>
    <cellStyle name="Berechnung 2" xfId="12" xr:uid="{D44DD40B-EC51-4607-871A-72E19BFD4005}"/>
    <cellStyle name="Eingabe 2" xfId="10" xr:uid="{2E3FD57B-6E42-4205-8922-7BF0BB0C6978}"/>
    <cellStyle name="Ergebnis 2" xfId="17" xr:uid="{0C329E36-708B-4B25-998B-A316EFC88897}"/>
    <cellStyle name="Erklärender Text 2" xfId="16" xr:uid="{92024EC0-4C66-4E58-89ED-A87D14C94E90}"/>
    <cellStyle name="Gut 2" xfId="7" xr:uid="{33753AA0-F337-4F34-A225-E64B5F7CF6B8}"/>
    <cellStyle name="Neutral 2" xfId="9" xr:uid="{A0F3D330-67AB-4BBE-A9F4-294EA8E57510}"/>
    <cellStyle name="Notiz" xfId="2" builtinId="10" customBuiltin="1"/>
    <cellStyle name="Schlecht 2" xfId="8" xr:uid="{C566FB20-00BF-40A3-9E47-D13984E13A06}"/>
    <cellStyle name="Standard" xfId="0" builtinId="0"/>
    <cellStyle name="Überschrift" xfId="1" builtinId="15" customBuiltin="1"/>
    <cellStyle name="Überschrift 1 2" xfId="3" xr:uid="{CD7E4A01-9844-4C97-98EE-00F1AB43CB1D}"/>
    <cellStyle name="Überschrift 2 2" xfId="4" xr:uid="{593F7817-2AC2-453D-B053-106CD8178C9A}"/>
    <cellStyle name="Überschrift 3 2" xfId="5" xr:uid="{09A2DFB4-D761-45E7-83F1-56F62CFA313C}"/>
    <cellStyle name="Überschrift 4 2" xfId="6" xr:uid="{D88C7154-E6A2-4A51-ABB7-53447E8070A4}"/>
    <cellStyle name="Verknüpfte Zelle 2" xfId="13" xr:uid="{7939E13B-96BD-488E-9E6C-391AFAED7B03}"/>
    <cellStyle name="Warnender Text 2" xfId="15" xr:uid="{DADBFA30-F199-43A6-9E46-FC22046DE7F4}"/>
    <cellStyle name="Zelle überprüfen 2" xfId="14" xr:uid="{2CA33F51-5218-4A88-BAAB-070244331590}"/>
  </cellStyles>
  <dxfs count="0"/>
  <tableStyles count="0" defaultTableStyle="TableStyleMedium2" defaultPivotStyle="PivotStyleLight16"/>
  <colors>
    <mruColors>
      <color rgb="FFFF6600"/>
      <color rgb="FFFEF0E6"/>
      <color rgb="FF98F6B5"/>
      <color rgb="FFDCECF0"/>
      <color rgb="FFFFCC99"/>
      <color rgb="FF95C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581C-BF23-4C9C-A21F-CC9D0E43A9AD}">
  <sheetPr codeName="Tabelle1"/>
  <dimension ref="A1:F64"/>
  <sheetViews>
    <sheetView workbookViewId="0">
      <pane ySplit="2" topLeftCell="A3" activePane="bottomLeft" state="frozen"/>
      <selection pane="bottomLeft" activeCell="D49" sqref="D49"/>
    </sheetView>
  </sheetViews>
  <sheetFormatPr baseColWidth="10" defaultRowHeight="15" x14ac:dyDescent="0.25"/>
  <cols>
    <col min="1" max="1" width="32.85546875" customWidth="1"/>
    <col min="2" max="2" width="19.5703125" customWidth="1"/>
    <col min="3" max="3" width="22.85546875" customWidth="1"/>
    <col min="4" max="4" width="55.85546875" customWidth="1"/>
    <col min="5" max="5" width="31.140625" customWidth="1"/>
    <col min="6" max="6" width="43.42578125" customWidth="1"/>
  </cols>
  <sheetData>
    <row r="1" spans="1:6" s="53" customFormat="1" ht="42.75" customHeight="1" x14ac:dyDescent="0.25">
      <c r="A1" s="65" t="s">
        <v>1377</v>
      </c>
      <c r="B1" s="65"/>
      <c r="C1" s="65"/>
      <c r="D1" s="65"/>
      <c r="E1" s="59">
        <f>SUM(E3:E59)</f>
        <v>6641.5399999999991</v>
      </c>
      <c r="F1" s="54" t="s">
        <v>1544</v>
      </c>
    </row>
    <row r="2" spans="1:6" x14ac:dyDescent="0.25">
      <c r="E2" s="1" t="s">
        <v>1524</v>
      </c>
    </row>
    <row r="3" spans="1:6" x14ac:dyDescent="0.25">
      <c r="A3" t="s">
        <v>1378</v>
      </c>
      <c r="B3" t="s">
        <v>1379</v>
      </c>
      <c r="C3" t="s">
        <v>1380</v>
      </c>
      <c r="D3" t="s">
        <v>1381</v>
      </c>
      <c r="E3" s="60">
        <v>108.18</v>
      </c>
      <c r="F3" s="1"/>
    </row>
    <row r="4" spans="1:6" x14ac:dyDescent="0.25">
      <c r="A4" t="s">
        <v>1382</v>
      </c>
      <c r="B4" t="s">
        <v>1383</v>
      </c>
      <c r="C4" t="s">
        <v>1384</v>
      </c>
      <c r="D4" t="s">
        <v>1385</v>
      </c>
      <c r="E4" s="12">
        <v>16.05</v>
      </c>
      <c r="F4" s="1"/>
    </row>
    <row r="5" spans="1:6" x14ac:dyDescent="0.25">
      <c r="A5" t="s">
        <v>1386</v>
      </c>
      <c r="B5" t="s">
        <v>1387</v>
      </c>
      <c r="C5" t="s">
        <v>1384</v>
      </c>
      <c r="D5" t="s">
        <v>1385</v>
      </c>
      <c r="E5" s="12">
        <v>16.05</v>
      </c>
      <c r="F5" s="1"/>
    </row>
    <row r="6" spans="1:6" x14ac:dyDescent="0.25">
      <c r="A6" t="s">
        <v>1388</v>
      </c>
      <c r="B6" t="s">
        <v>1389</v>
      </c>
      <c r="C6" t="s">
        <v>1390</v>
      </c>
      <c r="D6" t="s">
        <v>1391</v>
      </c>
      <c r="E6" s="12">
        <v>12.69</v>
      </c>
      <c r="F6" s="1"/>
    </row>
    <row r="7" spans="1:6" x14ac:dyDescent="0.25">
      <c r="A7" t="s">
        <v>1392</v>
      </c>
      <c r="B7" t="s">
        <v>1393</v>
      </c>
      <c r="C7" t="s">
        <v>1394</v>
      </c>
      <c r="D7" t="s">
        <v>1395</v>
      </c>
      <c r="E7" s="12">
        <v>53.36</v>
      </c>
      <c r="F7" s="1"/>
    </row>
    <row r="8" spans="1:6" x14ac:dyDescent="0.25">
      <c r="A8" t="s">
        <v>1396</v>
      </c>
      <c r="B8" t="s">
        <v>1397</v>
      </c>
      <c r="C8" t="s">
        <v>1394</v>
      </c>
      <c r="D8" t="s">
        <v>1398</v>
      </c>
      <c r="E8" s="12">
        <v>26.68</v>
      </c>
      <c r="F8" s="1"/>
    </row>
    <row r="9" spans="1:6" x14ac:dyDescent="0.25">
      <c r="A9" t="s">
        <v>1399</v>
      </c>
      <c r="B9" t="s">
        <v>1400</v>
      </c>
      <c r="C9" t="s">
        <v>1401</v>
      </c>
      <c r="D9" t="s">
        <v>1402</v>
      </c>
      <c r="E9" s="12">
        <v>26.2</v>
      </c>
      <c r="F9" s="1"/>
    </row>
    <row r="10" spans="1:6" x14ac:dyDescent="0.25">
      <c r="A10" t="s">
        <v>1399</v>
      </c>
      <c r="B10" t="s">
        <v>1400</v>
      </c>
      <c r="C10" t="s">
        <v>1403</v>
      </c>
      <c r="D10" t="s">
        <v>1404</v>
      </c>
      <c r="E10" s="12">
        <v>26.2</v>
      </c>
      <c r="F10" s="1"/>
    </row>
    <row r="11" spans="1:6" x14ac:dyDescent="0.25">
      <c r="A11" t="s">
        <v>1399</v>
      </c>
      <c r="B11" t="s">
        <v>1400</v>
      </c>
      <c r="C11" t="s">
        <v>1405</v>
      </c>
      <c r="D11" t="s">
        <v>1406</v>
      </c>
      <c r="E11" s="12">
        <v>26.2</v>
      </c>
      <c r="F11" s="1"/>
    </row>
    <row r="12" spans="1:6" x14ac:dyDescent="0.25">
      <c r="A12" t="s">
        <v>1399</v>
      </c>
      <c r="B12" t="s">
        <v>1400</v>
      </c>
      <c r="C12" t="s">
        <v>1407</v>
      </c>
      <c r="D12" t="s">
        <v>1408</v>
      </c>
      <c r="E12" s="12">
        <v>26.2</v>
      </c>
      <c r="F12" s="1"/>
    </row>
    <row r="13" spans="1:6" x14ac:dyDescent="0.25">
      <c r="A13" t="s">
        <v>1409</v>
      </c>
      <c r="B13" t="s">
        <v>1410</v>
      </c>
      <c r="C13" t="s">
        <v>1411</v>
      </c>
      <c r="D13" t="s">
        <v>1412</v>
      </c>
      <c r="E13" s="12">
        <v>31.16</v>
      </c>
      <c r="F13" s="1"/>
    </row>
    <row r="14" spans="1:6" x14ac:dyDescent="0.25">
      <c r="A14" t="s">
        <v>1388</v>
      </c>
      <c r="B14" t="s">
        <v>1413</v>
      </c>
      <c r="C14" t="s">
        <v>1411</v>
      </c>
      <c r="D14" t="s">
        <v>1414</v>
      </c>
      <c r="E14" s="12">
        <v>51.94</v>
      </c>
      <c r="F14" s="1"/>
    </row>
    <row r="15" spans="1:6" x14ac:dyDescent="0.25">
      <c r="A15" t="s">
        <v>1415</v>
      </c>
      <c r="B15" t="s">
        <v>1416</v>
      </c>
      <c r="C15" t="s">
        <v>1417</v>
      </c>
      <c r="D15" t="s">
        <v>1418</v>
      </c>
      <c r="E15" s="12">
        <v>22.74</v>
      </c>
      <c r="F15" s="1"/>
    </row>
    <row r="16" spans="1:6" x14ac:dyDescent="0.25">
      <c r="A16" t="s">
        <v>1419</v>
      </c>
      <c r="B16" t="s">
        <v>1420</v>
      </c>
      <c r="C16" t="s">
        <v>1421</v>
      </c>
      <c r="D16" t="s">
        <v>1422</v>
      </c>
      <c r="E16" s="12">
        <v>18.05</v>
      </c>
      <c r="F16" s="1"/>
    </row>
    <row r="17" spans="1:6" x14ac:dyDescent="0.25">
      <c r="A17" t="s">
        <v>1423</v>
      </c>
      <c r="B17" t="s">
        <v>1424</v>
      </c>
      <c r="C17" t="s">
        <v>1425</v>
      </c>
      <c r="D17" t="s">
        <v>1426</v>
      </c>
      <c r="E17" s="12">
        <v>31</v>
      </c>
      <c r="F17" s="1"/>
    </row>
    <row r="18" spans="1:6" x14ac:dyDescent="0.25">
      <c r="A18" t="s">
        <v>1396</v>
      </c>
      <c r="B18" t="s">
        <v>1397</v>
      </c>
      <c r="C18" t="s">
        <v>1425</v>
      </c>
      <c r="D18" t="s">
        <v>1426</v>
      </c>
      <c r="E18" s="12">
        <v>31</v>
      </c>
      <c r="F18" s="1"/>
    </row>
    <row r="19" spans="1:6" x14ac:dyDescent="0.25">
      <c r="A19" t="s">
        <v>1427</v>
      </c>
      <c r="B19" t="s">
        <v>1428</v>
      </c>
      <c r="C19" t="s">
        <v>1429</v>
      </c>
      <c r="D19" t="s">
        <v>1430</v>
      </c>
      <c r="E19" s="12">
        <v>2.95</v>
      </c>
      <c r="F19" s="1"/>
    </row>
    <row r="20" spans="1:6" x14ac:dyDescent="0.25">
      <c r="A20" t="s">
        <v>1415</v>
      </c>
      <c r="B20" t="s">
        <v>1416</v>
      </c>
      <c r="C20" t="s">
        <v>1439</v>
      </c>
      <c r="D20" t="s">
        <v>1440</v>
      </c>
      <c r="E20" s="12">
        <v>20.58</v>
      </c>
      <c r="F20" s="1"/>
    </row>
    <row r="21" spans="1:6" x14ac:dyDescent="0.25">
      <c r="A21" t="s">
        <v>1437</v>
      </c>
      <c r="B21" t="s">
        <v>1438</v>
      </c>
      <c r="C21" t="s">
        <v>1441</v>
      </c>
      <c r="D21" t="s">
        <v>1442</v>
      </c>
      <c r="E21" s="12">
        <v>38.99</v>
      </c>
      <c r="F21" s="1"/>
    </row>
    <row r="22" spans="1:6" x14ac:dyDescent="0.25">
      <c r="A22" t="s">
        <v>1386</v>
      </c>
      <c r="B22" t="s">
        <v>1387</v>
      </c>
      <c r="C22" t="s">
        <v>1441</v>
      </c>
      <c r="D22" t="s">
        <v>1442</v>
      </c>
      <c r="E22" s="12">
        <v>38.99</v>
      </c>
      <c r="F22" s="1"/>
    </row>
    <row r="23" spans="1:6" x14ac:dyDescent="0.25">
      <c r="A23" t="s">
        <v>1437</v>
      </c>
      <c r="B23" t="s">
        <v>1438</v>
      </c>
      <c r="C23" t="s">
        <v>1443</v>
      </c>
      <c r="D23" t="s">
        <v>1444</v>
      </c>
      <c r="E23" s="12">
        <v>37.08</v>
      </c>
      <c r="F23" s="1"/>
    </row>
    <row r="24" spans="1:6" x14ac:dyDescent="0.25">
      <c r="A24" t="s">
        <v>1415</v>
      </c>
      <c r="B24" t="s">
        <v>1416</v>
      </c>
      <c r="C24" t="s">
        <v>1443</v>
      </c>
      <c r="D24" t="s">
        <v>1445</v>
      </c>
      <c r="E24" s="12">
        <v>12.36</v>
      </c>
      <c r="F24" s="1"/>
    </row>
    <row r="25" spans="1:6" x14ac:dyDescent="0.25">
      <c r="A25" t="s">
        <v>1409</v>
      </c>
      <c r="B25" t="s">
        <v>1410</v>
      </c>
      <c r="C25" t="s">
        <v>1446</v>
      </c>
      <c r="D25" t="s">
        <v>1447</v>
      </c>
      <c r="E25" s="12">
        <v>229.8</v>
      </c>
      <c r="F25" s="1"/>
    </row>
    <row r="26" spans="1:6" x14ac:dyDescent="0.25">
      <c r="A26" t="s">
        <v>1409</v>
      </c>
      <c r="B26" t="s">
        <v>1410</v>
      </c>
      <c r="C26" t="s">
        <v>1448</v>
      </c>
      <c r="D26" t="s">
        <v>1449</v>
      </c>
      <c r="E26" s="12">
        <v>234</v>
      </c>
      <c r="F26" s="1"/>
    </row>
    <row r="27" spans="1:6" x14ac:dyDescent="0.25">
      <c r="A27" t="s">
        <v>1437</v>
      </c>
      <c r="B27" t="s">
        <v>1438</v>
      </c>
      <c r="C27" t="s">
        <v>1450</v>
      </c>
      <c r="D27" t="s">
        <v>1451</v>
      </c>
      <c r="E27" s="12">
        <v>9.0500000000000007</v>
      </c>
      <c r="F27" s="1"/>
    </row>
    <row r="28" spans="1:6" x14ac:dyDescent="0.25">
      <c r="A28" t="s">
        <v>1431</v>
      </c>
      <c r="B28" t="s">
        <v>1432</v>
      </c>
      <c r="C28" t="s">
        <v>1452</v>
      </c>
      <c r="D28" t="s">
        <v>1453</v>
      </c>
      <c r="E28" s="12">
        <v>19.8</v>
      </c>
      <c r="F28" s="1"/>
    </row>
    <row r="29" spans="1:6" x14ac:dyDescent="0.25">
      <c r="A29" t="s">
        <v>1415</v>
      </c>
      <c r="B29" t="s">
        <v>1416</v>
      </c>
      <c r="C29" t="s">
        <v>1454</v>
      </c>
      <c r="D29" t="s">
        <v>1455</v>
      </c>
      <c r="E29" s="12">
        <v>13.12</v>
      </c>
      <c r="F29" s="1"/>
    </row>
    <row r="30" spans="1:6" x14ac:dyDescent="0.25">
      <c r="A30" t="s">
        <v>1437</v>
      </c>
      <c r="B30" t="s">
        <v>1438</v>
      </c>
      <c r="C30" t="s">
        <v>1456</v>
      </c>
      <c r="D30" t="s">
        <v>1457</v>
      </c>
      <c r="E30" s="12">
        <v>243.72</v>
      </c>
      <c r="F30" s="1"/>
    </row>
    <row r="31" spans="1:6" x14ac:dyDescent="0.25">
      <c r="A31" t="s">
        <v>1435</v>
      </c>
      <c r="B31" t="s">
        <v>1436</v>
      </c>
      <c r="C31" t="s">
        <v>1458</v>
      </c>
      <c r="D31" t="s">
        <v>1459</v>
      </c>
      <c r="E31" s="12">
        <v>223.56</v>
      </c>
      <c r="F31" s="1"/>
    </row>
    <row r="32" spans="1:6" x14ac:dyDescent="0.25">
      <c r="A32" t="s">
        <v>1435</v>
      </c>
      <c r="B32" t="s">
        <v>1436</v>
      </c>
      <c r="C32" t="s">
        <v>1460</v>
      </c>
      <c r="D32" t="s">
        <v>1461</v>
      </c>
      <c r="E32" s="12">
        <v>426.75</v>
      </c>
      <c r="F32" s="1"/>
    </row>
    <row r="33" spans="1:6" x14ac:dyDescent="0.25">
      <c r="A33" t="s">
        <v>1415</v>
      </c>
      <c r="B33" t="s">
        <v>1416</v>
      </c>
      <c r="C33" t="s">
        <v>1462</v>
      </c>
      <c r="D33" t="s">
        <v>1463</v>
      </c>
      <c r="E33" s="12">
        <v>10.4</v>
      </c>
      <c r="F33" s="1"/>
    </row>
    <row r="34" spans="1:6" x14ac:dyDescent="0.25">
      <c r="A34" t="s">
        <v>1464</v>
      </c>
      <c r="B34" t="s">
        <v>1465</v>
      </c>
      <c r="C34" t="s">
        <v>1466</v>
      </c>
      <c r="D34" t="s">
        <v>1467</v>
      </c>
      <c r="E34" s="12">
        <v>41.22</v>
      </c>
      <c r="F34" s="1"/>
    </row>
    <row r="35" spans="1:6" x14ac:dyDescent="0.25">
      <c r="A35" t="s">
        <v>1396</v>
      </c>
      <c r="B35" t="s">
        <v>1397</v>
      </c>
      <c r="C35" t="s">
        <v>1466</v>
      </c>
      <c r="D35" t="s">
        <v>1467</v>
      </c>
      <c r="E35" s="12">
        <v>41.22</v>
      </c>
      <c r="F35" s="1"/>
    </row>
    <row r="36" spans="1:6" x14ac:dyDescent="0.25">
      <c r="A36" t="s">
        <v>1396</v>
      </c>
      <c r="B36" t="s">
        <v>1397</v>
      </c>
      <c r="C36" t="s">
        <v>1468</v>
      </c>
      <c r="D36" t="s">
        <v>1469</v>
      </c>
      <c r="E36" s="12">
        <v>508.5</v>
      </c>
      <c r="F36" s="1"/>
    </row>
    <row r="37" spans="1:6" x14ac:dyDescent="0.25">
      <c r="A37" t="s">
        <v>1388</v>
      </c>
      <c r="B37" t="s">
        <v>1413</v>
      </c>
      <c r="C37" t="s">
        <v>1470</v>
      </c>
      <c r="D37" t="s">
        <v>1471</v>
      </c>
      <c r="E37" s="12">
        <v>76.5</v>
      </c>
      <c r="F37" s="1"/>
    </row>
    <row r="38" spans="1:6" x14ac:dyDescent="0.25">
      <c r="A38" t="s">
        <v>1409</v>
      </c>
      <c r="B38" t="s">
        <v>1410</v>
      </c>
      <c r="C38" t="s">
        <v>1472</v>
      </c>
      <c r="D38" t="s">
        <v>1473</v>
      </c>
      <c r="E38" s="12">
        <v>194.1</v>
      </c>
      <c r="F38" s="1"/>
    </row>
    <row r="39" spans="1:6" x14ac:dyDescent="0.25">
      <c r="A39" t="s">
        <v>1415</v>
      </c>
      <c r="B39" t="s">
        <v>1416</v>
      </c>
      <c r="C39" t="s">
        <v>1474</v>
      </c>
      <c r="D39" t="s">
        <v>1475</v>
      </c>
      <c r="E39" s="12">
        <v>140.49</v>
      </c>
      <c r="F39" s="1"/>
    </row>
    <row r="40" spans="1:6" x14ac:dyDescent="0.25">
      <c r="A40" t="s">
        <v>1427</v>
      </c>
      <c r="B40" t="s">
        <v>1428</v>
      </c>
      <c r="C40" t="s">
        <v>1476</v>
      </c>
      <c r="D40" t="s">
        <v>1477</v>
      </c>
      <c r="E40" s="12">
        <v>18.510000000000002</v>
      </c>
      <c r="F40" s="1"/>
    </row>
    <row r="41" spans="1:6" x14ac:dyDescent="0.25">
      <c r="A41" t="s">
        <v>1386</v>
      </c>
      <c r="B41" t="s">
        <v>1387</v>
      </c>
      <c r="C41" t="s">
        <v>1478</v>
      </c>
      <c r="D41" t="s">
        <v>1479</v>
      </c>
      <c r="E41" s="12">
        <v>47.49</v>
      </c>
      <c r="F41" s="1"/>
    </row>
    <row r="42" spans="1:6" x14ac:dyDescent="0.25">
      <c r="A42" t="s">
        <v>1464</v>
      </c>
      <c r="B42" t="s">
        <v>1465</v>
      </c>
      <c r="C42" t="s">
        <v>1480</v>
      </c>
      <c r="D42" t="s">
        <v>1481</v>
      </c>
      <c r="E42" s="12">
        <v>333.2</v>
      </c>
      <c r="F42" s="1"/>
    </row>
    <row r="43" spans="1:6" x14ac:dyDescent="0.25">
      <c r="A43" t="s">
        <v>1437</v>
      </c>
      <c r="B43" t="s">
        <v>1438</v>
      </c>
      <c r="C43" t="s">
        <v>1480</v>
      </c>
      <c r="D43" t="s">
        <v>1482</v>
      </c>
      <c r="E43" s="12">
        <v>499.8</v>
      </c>
      <c r="F43" s="1"/>
    </row>
    <row r="44" spans="1:6" x14ac:dyDescent="0.25">
      <c r="A44" t="s">
        <v>1435</v>
      </c>
      <c r="B44" t="s">
        <v>1436</v>
      </c>
      <c r="C44" t="s">
        <v>1483</v>
      </c>
      <c r="D44" t="s">
        <v>1484</v>
      </c>
      <c r="E44" s="12">
        <v>52</v>
      </c>
      <c r="F44" s="1"/>
    </row>
    <row r="45" spans="1:6" x14ac:dyDescent="0.25">
      <c r="A45" t="s">
        <v>1485</v>
      </c>
      <c r="B45" t="s">
        <v>1486</v>
      </c>
      <c r="C45" t="s">
        <v>1487</v>
      </c>
      <c r="D45" t="s">
        <v>1488</v>
      </c>
      <c r="E45" s="12">
        <v>270.27</v>
      </c>
      <c r="F45" s="1"/>
    </row>
    <row r="46" spans="1:6" x14ac:dyDescent="0.25">
      <c r="A46" t="s">
        <v>1399</v>
      </c>
      <c r="B46" t="s">
        <v>1400</v>
      </c>
      <c r="C46" t="s">
        <v>1489</v>
      </c>
      <c r="D46" t="s">
        <v>1490</v>
      </c>
      <c r="E46" s="12">
        <v>15.9</v>
      </c>
      <c r="F46" s="1"/>
    </row>
    <row r="47" spans="1:6" x14ac:dyDescent="0.25">
      <c r="A47" t="s">
        <v>1392</v>
      </c>
      <c r="B47" t="s">
        <v>1393</v>
      </c>
      <c r="C47" t="s">
        <v>1491</v>
      </c>
      <c r="D47" t="s">
        <v>1492</v>
      </c>
      <c r="E47" s="12">
        <v>59.94</v>
      </c>
      <c r="F47" s="1"/>
    </row>
    <row r="48" spans="1:6" x14ac:dyDescent="0.25">
      <c r="A48" t="s">
        <v>1435</v>
      </c>
      <c r="B48" t="s">
        <v>1436</v>
      </c>
      <c r="C48" t="s">
        <v>1493</v>
      </c>
      <c r="D48" t="s">
        <v>1494</v>
      </c>
      <c r="E48" s="12">
        <v>74.25</v>
      </c>
      <c r="F48" s="1"/>
    </row>
    <row r="49" spans="1:6" x14ac:dyDescent="0.25">
      <c r="A49" t="s">
        <v>1433</v>
      </c>
      <c r="B49" t="s">
        <v>1434</v>
      </c>
      <c r="C49" t="s">
        <v>1495</v>
      </c>
      <c r="D49" t="s">
        <v>1496</v>
      </c>
      <c r="E49" s="12">
        <v>38.47</v>
      </c>
      <c r="F49" s="1" t="s">
        <v>1528</v>
      </c>
    </row>
    <row r="50" spans="1:6" x14ac:dyDescent="0.25">
      <c r="A50" t="s">
        <v>1409</v>
      </c>
      <c r="B50" t="s">
        <v>1497</v>
      </c>
      <c r="C50" t="s">
        <v>1498</v>
      </c>
      <c r="D50" t="s">
        <v>1499</v>
      </c>
      <c r="E50" s="12">
        <v>167.36</v>
      </c>
      <c r="F50" s="1"/>
    </row>
    <row r="51" spans="1:6" x14ac:dyDescent="0.25">
      <c r="A51" t="s">
        <v>1500</v>
      </c>
      <c r="B51" t="s">
        <v>1501</v>
      </c>
      <c r="C51" t="s">
        <v>1498</v>
      </c>
      <c r="D51" t="s">
        <v>1502</v>
      </c>
      <c r="E51" s="12">
        <v>20.92</v>
      </c>
      <c r="F51" s="1"/>
    </row>
    <row r="52" spans="1:6" x14ac:dyDescent="0.25">
      <c r="A52" t="s">
        <v>1388</v>
      </c>
      <c r="B52" t="s">
        <v>1413</v>
      </c>
      <c r="C52" t="s">
        <v>1503</v>
      </c>
      <c r="D52" t="s">
        <v>1504</v>
      </c>
      <c r="E52" s="12">
        <v>122.44</v>
      </c>
      <c r="F52" s="1"/>
    </row>
    <row r="53" spans="1:6" x14ac:dyDescent="0.25">
      <c r="A53" t="s">
        <v>1409</v>
      </c>
      <c r="B53" t="s">
        <v>1410</v>
      </c>
      <c r="C53" t="s">
        <v>1505</v>
      </c>
      <c r="D53" t="s">
        <v>1506</v>
      </c>
      <c r="E53" s="12">
        <v>12.42</v>
      </c>
      <c r="F53" s="1"/>
    </row>
    <row r="54" spans="1:6" x14ac:dyDescent="0.25">
      <c r="A54" t="s">
        <v>1437</v>
      </c>
      <c r="B54" t="s">
        <v>1438</v>
      </c>
      <c r="C54" t="s">
        <v>1505</v>
      </c>
      <c r="D54" t="s">
        <v>1506</v>
      </c>
      <c r="E54" s="12">
        <v>12.42</v>
      </c>
      <c r="F54" s="1"/>
    </row>
    <row r="55" spans="1:6" x14ac:dyDescent="0.25">
      <c r="A55" t="s">
        <v>1507</v>
      </c>
      <c r="B55" t="s">
        <v>1508</v>
      </c>
      <c r="C55" t="s">
        <v>1509</v>
      </c>
      <c r="D55" t="s">
        <v>1510</v>
      </c>
      <c r="E55" s="12">
        <v>21.86</v>
      </c>
      <c r="F55" s="1"/>
    </row>
    <row r="56" spans="1:6" x14ac:dyDescent="0.25">
      <c r="A56" t="s">
        <v>1388</v>
      </c>
      <c r="B56" t="s">
        <v>1413</v>
      </c>
      <c r="C56" t="s">
        <v>1509</v>
      </c>
      <c r="D56" t="s">
        <v>1511</v>
      </c>
      <c r="E56" s="12">
        <v>43.72</v>
      </c>
      <c r="F56" s="1"/>
    </row>
    <row r="57" spans="1:6" x14ac:dyDescent="0.25">
      <c r="A57" t="s">
        <v>1507</v>
      </c>
      <c r="B57" t="s">
        <v>1508</v>
      </c>
      <c r="C57" t="s">
        <v>1512</v>
      </c>
      <c r="D57" t="s">
        <v>1513</v>
      </c>
      <c r="E57" s="12">
        <v>76.17</v>
      </c>
      <c r="F57" s="1"/>
    </row>
    <row r="58" spans="1:6" x14ac:dyDescent="0.25">
      <c r="A58" t="s">
        <v>1437</v>
      </c>
      <c r="B58" t="s">
        <v>1438</v>
      </c>
      <c r="C58" t="s">
        <v>1514</v>
      </c>
      <c r="D58" t="s">
        <v>1515</v>
      </c>
      <c r="E58" s="12">
        <v>7.52</v>
      </c>
      <c r="F58" s="1"/>
    </row>
    <row r="59" spans="1:6" x14ac:dyDescent="0.25">
      <c r="A59" t="s">
        <v>1409</v>
      </c>
      <c r="B59" t="s">
        <v>1410</v>
      </c>
      <c r="C59" t="s">
        <v>1516</v>
      </c>
      <c r="D59" t="s">
        <v>1517</v>
      </c>
      <c r="E59" s="12">
        <v>1660</v>
      </c>
      <c r="F59" s="1"/>
    </row>
    <row r="60" spans="1:6" x14ac:dyDescent="0.25">
      <c r="A60" t="s">
        <v>1518</v>
      </c>
      <c r="B60" t="s">
        <v>1519</v>
      </c>
      <c r="C60" t="s">
        <v>1520</v>
      </c>
      <c r="D60" t="s">
        <v>1521</v>
      </c>
      <c r="E60" s="12">
        <v>472</v>
      </c>
      <c r="F60" s="1"/>
    </row>
    <row r="61" spans="1:6" x14ac:dyDescent="0.25">
      <c r="E61" s="61"/>
    </row>
    <row r="64" spans="1:6" x14ac:dyDescent="0.25">
      <c r="E64" s="61"/>
    </row>
  </sheetData>
  <autoFilter ref="A2:E60" xr:uid="{5332581C-BF23-4C9C-A21F-CC9D0E43A9AD}"/>
  <mergeCells count="1">
    <mergeCell ref="A1:D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C2B8-B843-4C37-92BE-F81CC6024D74}">
  <sheetPr codeName="Tabelle2"/>
  <dimension ref="A1:I767"/>
  <sheetViews>
    <sheetView zoomScaleNormal="100" workbookViewId="0">
      <pane ySplit="7" topLeftCell="A169" activePane="bottomLeft" state="frozen"/>
      <selection pane="bottomLeft" activeCell="C671" sqref="C671"/>
    </sheetView>
  </sheetViews>
  <sheetFormatPr baseColWidth="10" defaultRowHeight="15" outlineLevelRow="1" x14ac:dyDescent="0.25"/>
  <cols>
    <col min="1" max="1" width="15.28515625" customWidth="1"/>
    <col min="2" max="2" width="15.85546875" customWidth="1"/>
    <col min="3" max="3" width="91.85546875" customWidth="1"/>
    <col min="4" max="4" width="20.5703125" customWidth="1"/>
    <col min="5" max="5" width="18" customWidth="1"/>
    <col min="6" max="6" width="16" customWidth="1"/>
    <col min="7" max="7" width="16.28515625" customWidth="1"/>
    <col min="8" max="8" width="20.85546875" customWidth="1"/>
    <col min="9" max="9" width="21.7109375" style="12" customWidth="1"/>
  </cols>
  <sheetData>
    <row r="1" spans="1:9" x14ac:dyDescent="0.25">
      <c r="A1" s="7" t="s">
        <v>1313</v>
      </c>
      <c r="B1" s="7" t="s">
        <v>1314</v>
      </c>
      <c r="C1" s="7" t="s">
        <v>1315</v>
      </c>
      <c r="D1" s="15" t="s">
        <v>1316</v>
      </c>
      <c r="E1" s="15" t="s">
        <v>1317</v>
      </c>
      <c r="F1" s="15" t="s">
        <v>1318</v>
      </c>
      <c r="G1" s="15" t="s">
        <v>1319</v>
      </c>
      <c r="H1" s="15" t="s">
        <v>1543</v>
      </c>
      <c r="I1" s="16" t="s">
        <v>1542</v>
      </c>
    </row>
    <row r="2" spans="1:9" x14ac:dyDescent="0.25">
      <c r="C2" t="s">
        <v>93</v>
      </c>
    </row>
    <row r="3" spans="1:9" x14ac:dyDescent="0.25">
      <c r="C3" t="s">
        <v>94</v>
      </c>
    </row>
    <row r="4" spans="1:9" x14ac:dyDescent="0.25">
      <c r="C4" t="s">
        <v>95</v>
      </c>
    </row>
    <row r="5" spans="1:9" x14ac:dyDescent="0.25">
      <c r="C5" t="s">
        <v>96</v>
      </c>
    </row>
    <row r="6" spans="1:9" x14ac:dyDescent="0.25">
      <c r="C6" t="s">
        <v>97</v>
      </c>
    </row>
    <row r="7" spans="1:9" ht="18.75" x14ac:dyDescent="0.3">
      <c r="C7" t="s">
        <v>98</v>
      </c>
      <c r="H7" s="57">
        <f>SUM(H8,H38,H85,H235,H265,H273,H294,H523,H549)</f>
        <v>824668.42000000016</v>
      </c>
      <c r="I7" s="57">
        <f>SUM(I8,I38,I85,I235,I265,I273,I294,I523,I549)</f>
        <v>131566.568</v>
      </c>
    </row>
    <row r="8" spans="1:9" x14ac:dyDescent="0.25">
      <c r="A8" s="9" t="s">
        <v>99</v>
      </c>
      <c r="B8" s="9"/>
      <c r="C8" s="9" t="s">
        <v>100</v>
      </c>
      <c r="D8" s="9"/>
      <c r="E8" s="9"/>
      <c r="F8" s="9"/>
      <c r="G8" s="9"/>
      <c r="H8" s="13">
        <f>SUM(H9:H37)</f>
        <v>107504.51999999999</v>
      </c>
      <c r="I8" s="13">
        <f>SUM(I9:I37)</f>
        <v>37943.969999999994</v>
      </c>
    </row>
    <row r="9" spans="1:9" outlineLevel="1" x14ac:dyDescent="0.25">
      <c r="A9" s="8" t="s">
        <v>101</v>
      </c>
      <c r="B9" s="8"/>
      <c r="C9" s="8" t="s">
        <v>102</v>
      </c>
      <c r="D9" s="8"/>
      <c r="E9" s="8"/>
      <c r="F9" s="8"/>
      <c r="G9" s="14"/>
      <c r="H9" s="14"/>
      <c r="I9" s="14"/>
    </row>
    <row r="10" spans="1:9" outlineLevel="1" x14ac:dyDescent="0.25">
      <c r="A10" t="s">
        <v>36</v>
      </c>
      <c r="B10" t="s">
        <v>103</v>
      </c>
      <c r="C10" t="s">
        <v>37</v>
      </c>
      <c r="D10" t="s">
        <v>6</v>
      </c>
      <c r="E10">
        <v>144</v>
      </c>
      <c r="F10">
        <v>144</v>
      </c>
      <c r="G10" s="12">
        <v>134.34</v>
      </c>
      <c r="H10" s="12">
        <f>SUM(E10*G10)</f>
        <v>19344.96</v>
      </c>
      <c r="I10" s="12">
        <f>SUM(G10*F10)</f>
        <v>19344.96</v>
      </c>
    </row>
    <row r="11" spans="1:9" outlineLevel="1" x14ac:dyDescent="0.25">
      <c r="A11" t="s">
        <v>104</v>
      </c>
      <c r="B11" t="s">
        <v>103</v>
      </c>
      <c r="C11" t="s">
        <v>38</v>
      </c>
      <c r="D11" t="s">
        <v>6</v>
      </c>
      <c r="E11">
        <v>4</v>
      </c>
      <c r="F11">
        <v>4</v>
      </c>
      <c r="G11" s="12">
        <v>4083.74</v>
      </c>
      <c r="H11" s="12">
        <f t="shared" ref="H11:H37" si="0">SUM(E11*G11)</f>
        <v>16334.96</v>
      </c>
      <c r="I11" s="12">
        <f t="shared" ref="I11:I74" si="1">SUM(G11*F11)</f>
        <v>16334.96</v>
      </c>
    </row>
    <row r="12" spans="1:9" outlineLevel="1" x14ac:dyDescent="0.25">
      <c r="A12" t="s">
        <v>105</v>
      </c>
      <c r="B12" t="s">
        <v>103</v>
      </c>
      <c r="C12" t="s">
        <v>106</v>
      </c>
      <c r="D12" t="s">
        <v>6</v>
      </c>
      <c r="E12">
        <v>2</v>
      </c>
      <c r="G12" s="12">
        <v>3762.53</v>
      </c>
      <c r="H12" s="12">
        <f t="shared" si="0"/>
        <v>7525.06</v>
      </c>
      <c r="I12" s="12">
        <f t="shared" si="1"/>
        <v>0</v>
      </c>
    </row>
    <row r="13" spans="1:9" outlineLevel="1" x14ac:dyDescent="0.25">
      <c r="A13" t="s">
        <v>107</v>
      </c>
      <c r="B13" t="s">
        <v>103</v>
      </c>
      <c r="C13" t="s">
        <v>108</v>
      </c>
      <c r="D13" t="s">
        <v>6</v>
      </c>
      <c r="E13">
        <v>1</v>
      </c>
      <c r="G13" s="12">
        <v>3594.94</v>
      </c>
      <c r="H13" s="12">
        <f t="shared" si="0"/>
        <v>3594.94</v>
      </c>
      <c r="I13" s="12">
        <f t="shared" si="1"/>
        <v>0</v>
      </c>
    </row>
    <row r="14" spans="1:9" outlineLevel="1" x14ac:dyDescent="0.25">
      <c r="A14" t="s">
        <v>109</v>
      </c>
      <c r="B14" t="s">
        <v>103</v>
      </c>
      <c r="C14" t="s">
        <v>110</v>
      </c>
      <c r="D14" t="s">
        <v>6</v>
      </c>
      <c r="E14">
        <v>2</v>
      </c>
      <c r="G14" s="12">
        <v>4318.72</v>
      </c>
      <c r="H14" s="12">
        <f t="shared" si="0"/>
        <v>8637.44</v>
      </c>
      <c r="I14" s="12">
        <f t="shared" si="1"/>
        <v>0</v>
      </c>
    </row>
    <row r="15" spans="1:9" outlineLevel="1" x14ac:dyDescent="0.25">
      <c r="A15" s="8"/>
      <c r="B15" s="8"/>
      <c r="C15" s="8" t="s">
        <v>111</v>
      </c>
      <c r="D15" s="8"/>
      <c r="E15" s="8"/>
      <c r="F15" s="8"/>
      <c r="G15" s="14"/>
      <c r="H15" s="14"/>
      <c r="I15" s="14"/>
    </row>
    <row r="16" spans="1:9" outlineLevel="1" x14ac:dyDescent="0.25">
      <c r="A16" t="s">
        <v>112</v>
      </c>
      <c r="B16" t="s">
        <v>103</v>
      </c>
      <c r="C16" t="s">
        <v>39</v>
      </c>
      <c r="D16" t="s">
        <v>0</v>
      </c>
      <c r="E16">
        <v>720</v>
      </c>
      <c r="F16">
        <v>100</v>
      </c>
      <c r="G16" s="12">
        <v>4.07</v>
      </c>
      <c r="H16" s="12">
        <f t="shared" si="0"/>
        <v>2930.4</v>
      </c>
      <c r="I16" s="12">
        <f t="shared" si="1"/>
        <v>407</v>
      </c>
    </row>
    <row r="17" spans="1:9" outlineLevel="1" x14ac:dyDescent="0.25">
      <c r="A17" t="s">
        <v>42</v>
      </c>
      <c r="B17" t="s">
        <v>103</v>
      </c>
      <c r="C17" t="s">
        <v>40</v>
      </c>
      <c r="D17" t="s">
        <v>0</v>
      </c>
      <c r="E17">
        <v>720</v>
      </c>
      <c r="F17">
        <v>100</v>
      </c>
      <c r="G17" s="12">
        <v>4.07</v>
      </c>
      <c r="H17" s="12">
        <f t="shared" si="0"/>
        <v>2930.4</v>
      </c>
      <c r="I17" s="12">
        <f t="shared" si="1"/>
        <v>407</v>
      </c>
    </row>
    <row r="18" spans="1:9" outlineLevel="1" x14ac:dyDescent="0.25">
      <c r="A18" t="s">
        <v>43</v>
      </c>
      <c r="B18" t="s">
        <v>103</v>
      </c>
      <c r="C18" t="s">
        <v>41</v>
      </c>
      <c r="D18" t="s">
        <v>6</v>
      </c>
      <c r="E18">
        <v>4</v>
      </c>
      <c r="F18">
        <v>4</v>
      </c>
      <c r="G18" s="12">
        <v>260.39999999999998</v>
      </c>
      <c r="H18" s="12">
        <f t="shared" si="0"/>
        <v>1041.5999999999999</v>
      </c>
      <c r="I18" s="12">
        <f t="shared" si="1"/>
        <v>1041.5999999999999</v>
      </c>
    </row>
    <row r="19" spans="1:9" outlineLevel="1" x14ac:dyDescent="0.25">
      <c r="A19" s="8"/>
      <c r="B19" s="8"/>
      <c r="C19" s="8"/>
      <c r="D19" s="8"/>
      <c r="E19" s="8"/>
      <c r="F19" s="8"/>
      <c r="G19" s="14"/>
      <c r="H19" s="14"/>
      <c r="I19" s="14"/>
    </row>
    <row r="20" spans="1:9" outlineLevel="1" x14ac:dyDescent="0.25">
      <c r="A20" t="s">
        <v>113</v>
      </c>
      <c r="B20" t="s">
        <v>103</v>
      </c>
      <c r="C20" t="s">
        <v>114</v>
      </c>
      <c r="D20" t="s">
        <v>0</v>
      </c>
      <c r="E20">
        <v>60</v>
      </c>
      <c r="G20" s="12">
        <v>22.19</v>
      </c>
      <c r="H20" s="12">
        <f t="shared" si="0"/>
        <v>1331.4</v>
      </c>
      <c r="I20" s="12">
        <f t="shared" si="1"/>
        <v>0</v>
      </c>
    </row>
    <row r="21" spans="1:9" outlineLevel="1" x14ac:dyDescent="0.25">
      <c r="A21" t="s">
        <v>115</v>
      </c>
      <c r="B21" t="s">
        <v>103</v>
      </c>
      <c r="C21" t="s">
        <v>116</v>
      </c>
      <c r="D21" t="s">
        <v>0</v>
      </c>
      <c r="E21">
        <v>36</v>
      </c>
      <c r="G21" s="12">
        <v>16.989999999999998</v>
      </c>
      <c r="H21" s="12">
        <f t="shared" si="0"/>
        <v>611.64</v>
      </c>
      <c r="I21" s="12">
        <f t="shared" si="1"/>
        <v>0</v>
      </c>
    </row>
    <row r="22" spans="1:9" outlineLevel="1" x14ac:dyDescent="0.25">
      <c r="A22" t="s">
        <v>117</v>
      </c>
      <c r="B22" t="s">
        <v>103</v>
      </c>
      <c r="C22" t="s">
        <v>118</v>
      </c>
      <c r="D22" t="s">
        <v>0</v>
      </c>
      <c r="E22">
        <v>40</v>
      </c>
      <c r="G22" s="12">
        <v>7.33</v>
      </c>
      <c r="H22" s="12">
        <f t="shared" si="0"/>
        <v>293.2</v>
      </c>
      <c r="I22" s="12">
        <f t="shared" si="1"/>
        <v>0</v>
      </c>
    </row>
    <row r="23" spans="1:9" outlineLevel="1" x14ac:dyDescent="0.25">
      <c r="A23" t="s">
        <v>119</v>
      </c>
      <c r="B23" t="s">
        <v>103</v>
      </c>
      <c r="C23" t="s">
        <v>120</v>
      </c>
      <c r="D23" t="s">
        <v>0</v>
      </c>
      <c r="E23">
        <v>6</v>
      </c>
      <c r="G23" s="12">
        <v>12.46</v>
      </c>
      <c r="H23" s="12">
        <f t="shared" si="0"/>
        <v>74.760000000000005</v>
      </c>
      <c r="I23" s="12">
        <f t="shared" si="1"/>
        <v>0</v>
      </c>
    </row>
    <row r="24" spans="1:9" outlineLevel="1" x14ac:dyDescent="0.25">
      <c r="A24" t="s">
        <v>121</v>
      </c>
      <c r="B24" t="s">
        <v>103</v>
      </c>
      <c r="C24" t="s">
        <v>122</v>
      </c>
      <c r="D24" t="s">
        <v>0</v>
      </c>
      <c r="E24">
        <v>12</v>
      </c>
      <c r="G24" s="12">
        <v>24.41</v>
      </c>
      <c r="H24" s="12">
        <f t="shared" si="0"/>
        <v>292.92</v>
      </c>
      <c r="I24" s="12">
        <f t="shared" si="1"/>
        <v>0</v>
      </c>
    </row>
    <row r="25" spans="1:9" outlineLevel="1" x14ac:dyDescent="0.25">
      <c r="A25" t="s">
        <v>123</v>
      </c>
      <c r="B25" t="s">
        <v>103</v>
      </c>
      <c r="C25" t="s">
        <v>124</v>
      </c>
      <c r="D25" t="s">
        <v>0</v>
      </c>
      <c r="E25">
        <v>82</v>
      </c>
      <c r="G25" s="12">
        <v>185.45</v>
      </c>
      <c r="H25" s="12">
        <f t="shared" si="0"/>
        <v>15206.9</v>
      </c>
      <c r="I25" s="12">
        <f t="shared" si="1"/>
        <v>0</v>
      </c>
    </row>
    <row r="26" spans="1:9" outlineLevel="1" x14ac:dyDescent="0.25">
      <c r="A26" t="s">
        <v>125</v>
      </c>
      <c r="B26" t="s">
        <v>103</v>
      </c>
      <c r="C26" t="s">
        <v>124</v>
      </c>
      <c r="D26" t="s">
        <v>0</v>
      </c>
      <c r="E26">
        <v>48</v>
      </c>
      <c r="G26" s="12">
        <v>167.21</v>
      </c>
      <c r="H26" s="12">
        <f t="shared" si="0"/>
        <v>8026.08</v>
      </c>
      <c r="I26" s="12">
        <f t="shared" si="1"/>
        <v>0</v>
      </c>
    </row>
    <row r="27" spans="1:9" outlineLevel="1" x14ac:dyDescent="0.25">
      <c r="A27" t="s">
        <v>126</v>
      </c>
      <c r="B27" t="s">
        <v>103</v>
      </c>
      <c r="C27" t="s">
        <v>127</v>
      </c>
      <c r="D27" t="s">
        <v>0</v>
      </c>
      <c r="E27">
        <v>60</v>
      </c>
      <c r="F27">
        <v>35</v>
      </c>
      <c r="G27" s="12">
        <v>11.67</v>
      </c>
      <c r="H27" s="12">
        <f t="shared" si="0"/>
        <v>700.2</v>
      </c>
      <c r="I27" s="12">
        <f t="shared" si="1"/>
        <v>408.45</v>
      </c>
    </row>
    <row r="28" spans="1:9" outlineLevel="1" x14ac:dyDescent="0.25">
      <c r="A28" t="s">
        <v>128</v>
      </c>
      <c r="B28" t="s">
        <v>103</v>
      </c>
      <c r="C28" t="s">
        <v>129</v>
      </c>
      <c r="D28" t="s">
        <v>0</v>
      </c>
      <c r="E28">
        <v>48</v>
      </c>
      <c r="G28" s="12">
        <v>65.48</v>
      </c>
      <c r="H28" s="12">
        <f t="shared" si="0"/>
        <v>3143.04</v>
      </c>
      <c r="I28" s="12">
        <f t="shared" si="1"/>
        <v>0</v>
      </c>
    </row>
    <row r="29" spans="1:9" outlineLevel="1" x14ac:dyDescent="0.25">
      <c r="A29" t="s">
        <v>130</v>
      </c>
      <c r="B29" t="s">
        <v>103</v>
      </c>
      <c r="C29" t="s">
        <v>131</v>
      </c>
      <c r="D29" t="s">
        <v>0</v>
      </c>
      <c r="E29">
        <v>50</v>
      </c>
      <c r="G29" s="12">
        <v>3.87</v>
      </c>
      <c r="H29" s="12">
        <f t="shared" si="0"/>
        <v>193.5</v>
      </c>
      <c r="I29" s="12">
        <f t="shared" si="1"/>
        <v>0</v>
      </c>
    </row>
    <row r="30" spans="1:9" outlineLevel="1" x14ac:dyDescent="0.25">
      <c r="A30" s="8"/>
      <c r="B30" s="8"/>
      <c r="C30" s="8" t="s">
        <v>132</v>
      </c>
      <c r="D30" s="8"/>
      <c r="E30" s="8"/>
      <c r="F30" s="8"/>
      <c r="G30" s="14"/>
      <c r="H30" s="14"/>
      <c r="I30" s="14"/>
    </row>
    <row r="31" spans="1:9" outlineLevel="1" x14ac:dyDescent="0.25">
      <c r="A31" t="s">
        <v>133</v>
      </c>
      <c r="B31" t="s">
        <v>103</v>
      </c>
      <c r="C31" t="s">
        <v>134</v>
      </c>
      <c r="D31" t="s">
        <v>6</v>
      </c>
      <c r="E31">
        <v>4</v>
      </c>
      <c r="G31" s="12">
        <v>403.48</v>
      </c>
      <c r="H31" s="12">
        <f t="shared" si="0"/>
        <v>1613.92</v>
      </c>
      <c r="I31" s="12">
        <f t="shared" si="1"/>
        <v>0</v>
      </c>
    </row>
    <row r="32" spans="1:9" outlineLevel="1" x14ac:dyDescent="0.25">
      <c r="A32" t="s">
        <v>135</v>
      </c>
      <c r="B32" t="s">
        <v>103</v>
      </c>
      <c r="C32" t="s">
        <v>136</v>
      </c>
      <c r="D32" t="s">
        <v>6</v>
      </c>
      <c r="E32">
        <v>1</v>
      </c>
      <c r="G32" s="12">
        <v>2571.5</v>
      </c>
      <c r="H32" s="12">
        <f t="shared" si="0"/>
        <v>2571.5</v>
      </c>
      <c r="I32" s="12">
        <f t="shared" si="1"/>
        <v>0</v>
      </c>
    </row>
    <row r="33" spans="1:9" outlineLevel="1" x14ac:dyDescent="0.25">
      <c r="A33" t="s">
        <v>137</v>
      </c>
      <c r="B33" t="s">
        <v>103</v>
      </c>
      <c r="C33" t="s">
        <v>138</v>
      </c>
      <c r="D33" t="s">
        <v>6</v>
      </c>
      <c r="E33">
        <v>1</v>
      </c>
      <c r="G33" s="12">
        <v>2053.1</v>
      </c>
      <c r="H33" s="12">
        <f t="shared" si="0"/>
        <v>2053.1</v>
      </c>
      <c r="I33" s="12">
        <f t="shared" si="1"/>
        <v>0</v>
      </c>
    </row>
    <row r="34" spans="1:9" outlineLevel="1" x14ac:dyDescent="0.25">
      <c r="A34" t="s">
        <v>139</v>
      </c>
      <c r="B34" t="s">
        <v>103</v>
      </c>
      <c r="C34" t="s">
        <v>140</v>
      </c>
      <c r="D34" t="s">
        <v>141</v>
      </c>
      <c r="E34">
        <v>1</v>
      </c>
      <c r="G34" s="12">
        <v>700</v>
      </c>
      <c r="H34" s="12">
        <f t="shared" si="0"/>
        <v>700</v>
      </c>
      <c r="I34" s="12">
        <f t="shared" si="1"/>
        <v>0</v>
      </c>
    </row>
    <row r="35" spans="1:9" outlineLevel="1" x14ac:dyDescent="0.25">
      <c r="A35" t="s">
        <v>142</v>
      </c>
      <c r="B35" t="s">
        <v>103</v>
      </c>
      <c r="C35" t="s">
        <v>143</v>
      </c>
      <c r="D35" t="s">
        <v>141</v>
      </c>
      <c r="E35">
        <v>1</v>
      </c>
      <c r="G35" s="12">
        <v>908.5</v>
      </c>
      <c r="H35" s="12">
        <f t="shared" si="0"/>
        <v>908.5</v>
      </c>
      <c r="I35" s="12">
        <f t="shared" si="1"/>
        <v>0</v>
      </c>
    </row>
    <row r="36" spans="1:9" outlineLevel="1" x14ac:dyDescent="0.25">
      <c r="A36" t="s">
        <v>144</v>
      </c>
      <c r="B36" t="s">
        <v>103</v>
      </c>
      <c r="C36" t="s">
        <v>145</v>
      </c>
      <c r="D36" t="s">
        <v>6</v>
      </c>
      <c r="E36">
        <v>1</v>
      </c>
      <c r="G36" s="12">
        <v>365.7</v>
      </c>
      <c r="H36" s="12">
        <f t="shared" si="0"/>
        <v>365.7</v>
      </c>
      <c r="I36" s="12">
        <f t="shared" si="1"/>
        <v>0</v>
      </c>
    </row>
    <row r="37" spans="1:9" outlineLevel="1" x14ac:dyDescent="0.25">
      <c r="A37" t="s">
        <v>146</v>
      </c>
      <c r="B37" t="s">
        <v>103</v>
      </c>
      <c r="C37" t="s">
        <v>147</v>
      </c>
      <c r="D37" t="s">
        <v>6</v>
      </c>
      <c r="E37">
        <v>4</v>
      </c>
      <c r="G37" s="12">
        <v>1769.6</v>
      </c>
      <c r="H37" s="12">
        <f t="shared" si="0"/>
        <v>7078.4</v>
      </c>
      <c r="I37" s="12">
        <f t="shared" si="1"/>
        <v>0</v>
      </c>
    </row>
    <row r="38" spans="1:9" x14ac:dyDescent="0.25">
      <c r="A38" s="9" t="s">
        <v>148</v>
      </c>
      <c r="B38" s="9"/>
      <c r="C38" s="9" t="s">
        <v>149</v>
      </c>
      <c r="D38" s="9"/>
      <c r="E38" s="9"/>
      <c r="F38" s="9"/>
      <c r="G38" s="13"/>
      <c r="H38" s="13">
        <f>SUM(H39:H84)</f>
        <v>44769.2</v>
      </c>
      <c r="I38" s="13">
        <f>SUM(I39:I84)</f>
        <v>0</v>
      </c>
    </row>
    <row r="39" spans="1:9" outlineLevel="1" x14ac:dyDescent="0.25">
      <c r="A39" s="8" t="s">
        <v>150</v>
      </c>
      <c r="B39" s="8"/>
      <c r="C39" s="8" t="s">
        <v>151</v>
      </c>
      <c r="D39" s="8"/>
      <c r="E39" s="8"/>
      <c r="F39" s="8"/>
      <c r="G39" s="14"/>
      <c r="H39" s="14"/>
      <c r="I39" s="14"/>
    </row>
    <row r="40" spans="1:9" outlineLevel="1" x14ac:dyDescent="0.25">
      <c r="A40" t="s">
        <v>152</v>
      </c>
      <c r="B40" t="s">
        <v>103</v>
      </c>
      <c r="C40" t="s">
        <v>153</v>
      </c>
      <c r="D40" t="s">
        <v>6</v>
      </c>
      <c r="E40">
        <v>1</v>
      </c>
      <c r="G40" s="12">
        <v>2190.0500000000002</v>
      </c>
      <c r="H40" s="12">
        <f>SUM(E40*G40)</f>
        <v>2190.0500000000002</v>
      </c>
      <c r="I40" s="12">
        <f t="shared" si="1"/>
        <v>0</v>
      </c>
    </row>
    <row r="41" spans="1:9" outlineLevel="1" x14ac:dyDescent="0.25">
      <c r="A41" t="s">
        <v>154</v>
      </c>
      <c r="B41" t="s">
        <v>103</v>
      </c>
      <c r="C41" t="s">
        <v>155</v>
      </c>
      <c r="D41" t="s">
        <v>6</v>
      </c>
      <c r="E41">
        <v>2</v>
      </c>
      <c r="G41" s="12">
        <v>2718.47</v>
      </c>
      <c r="H41" s="12">
        <f t="shared" ref="H41:H84" si="2">SUM(E41*G41)</f>
        <v>5436.94</v>
      </c>
      <c r="I41" s="12">
        <f t="shared" si="1"/>
        <v>0</v>
      </c>
    </row>
    <row r="42" spans="1:9" outlineLevel="1" x14ac:dyDescent="0.25">
      <c r="A42" t="s">
        <v>156</v>
      </c>
      <c r="B42" t="s">
        <v>103</v>
      </c>
      <c r="C42" t="s">
        <v>155</v>
      </c>
      <c r="D42" t="s">
        <v>6</v>
      </c>
      <c r="E42">
        <v>2</v>
      </c>
      <c r="G42" s="12">
        <v>2349.92</v>
      </c>
      <c r="H42" s="12">
        <f t="shared" si="2"/>
        <v>4699.84</v>
      </c>
      <c r="I42" s="12">
        <f t="shared" si="1"/>
        <v>0</v>
      </c>
    </row>
    <row r="43" spans="1:9" outlineLevel="1" x14ac:dyDescent="0.25">
      <c r="A43" t="s">
        <v>157</v>
      </c>
      <c r="B43" t="s">
        <v>103</v>
      </c>
      <c r="C43" t="s">
        <v>158</v>
      </c>
      <c r="D43" t="s">
        <v>6</v>
      </c>
      <c r="E43">
        <v>1</v>
      </c>
      <c r="G43" s="12">
        <v>350</v>
      </c>
      <c r="H43" s="12">
        <f t="shared" si="2"/>
        <v>350</v>
      </c>
      <c r="I43" s="12">
        <f t="shared" si="1"/>
        <v>0</v>
      </c>
    </row>
    <row r="44" spans="1:9" outlineLevel="1" x14ac:dyDescent="0.25">
      <c r="A44" s="8" t="s">
        <v>159</v>
      </c>
      <c r="B44" s="8"/>
      <c r="C44" s="8" t="s">
        <v>160</v>
      </c>
      <c r="D44" s="8"/>
      <c r="E44" s="8"/>
      <c r="F44" s="8"/>
      <c r="G44" s="14"/>
      <c r="H44" s="14"/>
      <c r="I44" s="14"/>
    </row>
    <row r="45" spans="1:9" outlineLevel="1" x14ac:dyDescent="0.25">
      <c r="A45" s="8"/>
      <c r="B45" s="8"/>
      <c r="C45" s="8" t="s">
        <v>161</v>
      </c>
      <c r="D45" s="8"/>
      <c r="E45" s="8"/>
      <c r="F45" s="8"/>
      <c r="G45" s="14"/>
      <c r="H45" s="14"/>
      <c r="I45" s="14"/>
    </row>
    <row r="46" spans="1:9" outlineLevel="1" x14ac:dyDescent="0.25">
      <c r="A46" t="s">
        <v>162</v>
      </c>
      <c r="B46" t="s">
        <v>103</v>
      </c>
      <c r="C46" t="s">
        <v>163</v>
      </c>
      <c r="D46" t="s">
        <v>6</v>
      </c>
      <c r="E46">
        <v>5</v>
      </c>
      <c r="G46" s="12">
        <v>37.56</v>
      </c>
      <c r="H46" s="12">
        <f t="shared" si="2"/>
        <v>187.8</v>
      </c>
      <c r="I46" s="12">
        <f t="shared" si="1"/>
        <v>0</v>
      </c>
    </row>
    <row r="47" spans="1:9" outlineLevel="1" x14ac:dyDescent="0.25">
      <c r="A47" t="s">
        <v>164</v>
      </c>
      <c r="B47" t="s">
        <v>103</v>
      </c>
      <c r="C47" t="s">
        <v>165</v>
      </c>
      <c r="D47" t="s">
        <v>6</v>
      </c>
      <c r="E47">
        <v>6</v>
      </c>
      <c r="G47" s="12">
        <v>132.80000000000001</v>
      </c>
      <c r="H47" s="12">
        <f t="shared" si="2"/>
        <v>796.80000000000007</v>
      </c>
      <c r="I47" s="12">
        <f t="shared" si="1"/>
        <v>0</v>
      </c>
    </row>
    <row r="48" spans="1:9" outlineLevel="1" x14ac:dyDescent="0.25">
      <c r="A48" t="s">
        <v>166</v>
      </c>
      <c r="B48" t="s">
        <v>103</v>
      </c>
      <c r="C48" t="s">
        <v>167</v>
      </c>
      <c r="D48" t="s">
        <v>6</v>
      </c>
      <c r="E48">
        <v>70</v>
      </c>
      <c r="G48" s="12">
        <v>18.600000000000001</v>
      </c>
      <c r="H48" s="12">
        <f t="shared" si="2"/>
        <v>1302</v>
      </c>
      <c r="I48" s="12">
        <f t="shared" si="1"/>
        <v>0</v>
      </c>
    </row>
    <row r="49" spans="1:9" outlineLevel="1" x14ac:dyDescent="0.25">
      <c r="A49" t="s">
        <v>168</v>
      </c>
      <c r="B49" t="s">
        <v>103</v>
      </c>
      <c r="C49" t="s">
        <v>169</v>
      </c>
      <c r="D49" t="s">
        <v>6</v>
      </c>
      <c r="E49">
        <v>110</v>
      </c>
      <c r="G49" s="12">
        <v>16.96</v>
      </c>
      <c r="H49" s="12">
        <f t="shared" si="2"/>
        <v>1865.6000000000001</v>
      </c>
      <c r="I49" s="12">
        <f t="shared" si="1"/>
        <v>0</v>
      </c>
    </row>
    <row r="50" spans="1:9" outlineLevel="1" x14ac:dyDescent="0.25">
      <c r="A50" t="s">
        <v>170</v>
      </c>
      <c r="B50" t="s">
        <v>103</v>
      </c>
      <c r="C50" t="s">
        <v>171</v>
      </c>
      <c r="D50" t="s">
        <v>6</v>
      </c>
      <c r="E50">
        <v>12</v>
      </c>
      <c r="G50" s="12">
        <v>43.22</v>
      </c>
      <c r="H50" s="12">
        <f t="shared" si="2"/>
        <v>518.64</v>
      </c>
      <c r="I50" s="12">
        <f>SUM(G50*F50)</f>
        <v>0</v>
      </c>
    </row>
    <row r="51" spans="1:9" outlineLevel="1" x14ac:dyDescent="0.25">
      <c r="A51" t="s">
        <v>172</v>
      </c>
      <c r="B51" t="s">
        <v>103</v>
      </c>
      <c r="C51" t="s">
        <v>173</v>
      </c>
      <c r="D51" t="s">
        <v>6</v>
      </c>
      <c r="E51">
        <v>4</v>
      </c>
      <c r="G51" s="12">
        <v>102.7</v>
      </c>
      <c r="H51" s="12">
        <f t="shared" si="2"/>
        <v>410.8</v>
      </c>
      <c r="I51" s="12">
        <f t="shared" si="1"/>
        <v>0</v>
      </c>
    </row>
    <row r="52" spans="1:9" outlineLevel="1" x14ac:dyDescent="0.25">
      <c r="A52" t="s">
        <v>174</v>
      </c>
      <c r="B52" t="s">
        <v>103</v>
      </c>
      <c r="C52" t="s">
        <v>175</v>
      </c>
      <c r="D52" t="s">
        <v>6</v>
      </c>
      <c r="E52">
        <v>48</v>
      </c>
      <c r="G52" s="12">
        <v>98</v>
      </c>
      <c r="H52" s="12">
        <f t="shared" si="2"/>
        <v>4704</v>
      </c>
      <c r="I52" s="12">
        <f t="shared" si="1"/>
        <v>0</v>
      </c>
    </row>
    <row r="53" spans="1:9" outlineLevel="1" x14ac:dyDescent="0.25">
      <c r="A53" t="s">
        <v>176</v>
      </c>
      <c r="B53" t="s">
        <v>103</v>
      </c>
      <c r="C53" t="s">
        <v>177</v>
      </c>
      <c r="D53" t="s">
        <v>6</v>
      </c>
      <c r="E53">
        <v>8</v>
      </c>
      <c r="G53" s="12">
        <v>115.7</v>
      </c>
      <c r="H53" s="12">
        <f t="shared" si="2"/>
        <v>925.6</v>
      </c>
      <c r="I53" s="12">
        <f t="shared" si="1"/>
        <v>0</v>
      </c>
    </row>
    <row r="54" spans="1:9" outlineLevel="1" x14ac:dyDescent="0.25">
      <c r="A54" t="s">
        <v>178</v>
      </c>
      <c r="B54" t="s">
        <v>103</v>
      </c>
      <c r="C54" t="s">
        <v>179</v>
      </c>
      <c r="D54" t="s">
        <v>6</v>
      </c>
      <c r="E54">
        <v>2</v>
      </c>
      <c r="G54" s="12">
        <v>102.7</v>
      </c>
      <c r="H54" s="12">
        <f t="shared" si="2"/>
        <v>205.4</v>
      </c>
      <c r="I54" s="12">
        <f t="shared" si="1"/>
        <v>0</v>
      </c>
    </row>
    <row r="55" spans="1:9" outlineLevel="1" x14ac:dyDescent="0.25">
      <c r="A55" t="s">
        <v>180</v>
      </c>
      <c r="B55" t="s">
        <v>103</v>
      </c>
      <c r="C55" t="s">
        <v>181</v>
      </c>
      <c r="D55" t="s">
        <v>6</v>
      </c>
      <c r="E55">
        <v>12</v>
      </c>
      <c r="G55" s="12">
        <v>82.06</v>
      </c>
      <c r="H55" s="12">
        <f t="shared" si="2"/>
        <v>984.72</v>
      </c>
      <c r="I55" s="12">
        <f t="shared" si="1"/>
        <v>0</v>
      </c>
    </row>
    <row r="56" spans="1:9" outlineLevel="1" x14ac:dyDescent="0.25">
      <c r="A56" t="s">
        <v>182</v>
      </c>
      <c r="B56" t="s">
        <v>103</v>
      </c>
      <c r="C56" t="s">
        <v>183</v>
      </c>
      <c r="D56" t="s">
        <v>6</v>
      </c>
      <c r="E56">
        <v>40</v>
      </c>
      <c r="G56" s="12">
        <v>78</v>
      </c>
      <c r="H56" s="12">
        <f t="shared" si="2"/>
        <v>3120</v>
      </c>
      <c r="I56" s="12">
        <f t="shared" si="1"/>
        <v>0</v>
      </c>
    </row>
    <row r="57" spans="1:9" outlineLevel="1" x14ac:dyDescent="0.25">
      <c r="A57" t="s">
        <v>184</v>
      </c>
      <c r="B57" t="s">
        <v>103</v>
      </c>
      <c r="C57" t="s">
        <v>185</v>
      </c>
      <c r="D57" t="s">
        <v>6</v>
      </c>
      <c r="E57">
        <v>6</v>
      </c>
      <c r="G57" s="12">
        <v>17.88</v>
      </c>
      <c r="H57" s="12">
        <f t="shared" si="2"/>
        <v>107.28</v>
      </c>
      <c r="I57" s="12">
        <f t="shared" si="1"/>
        <v>0</v>
      </c>
    </row>
    <row r="58" spans="1:9" outlineLevel="1" x14ac:dyDescent="0.25">
      <c r="A58" t="s">
        <v>186</v>
      </c>
      <c r="B58" t="s">
        <v>103</v>
      </c>
      <c r="C58" t="s">
        <v>187</v>
      </c>
      <c r="D58" t="s">
        <v>6</v>
      </c>
      <c r="E58">
        <v>60</v>
      </c>
      <c r="G58" s="12">
        <v>37.450000000000003</v>
      </c>
      <c r="H58" s="12">
        <f t="shared" si="2"/>
        <v>2247</v>
      </c>
      <c r="I58" s="12">
        <f t="shared" si="1"/>
        <v>0</v>
      </c>
    </row>
    <row r="59" spans="1:9" outlineLevel="1" x14ac:dyDescent="0.25">
      <c r="A59" t="s">
        <v>188</v>
      </c>
      <c r="B59" t="s">
        <v>103</v>
      </c>
      <c r="C59" t="s">
        <v>189</v>
      </c>
      <c r="D59" t="s">
        <v>6</v>
      </c>
      <c r="E59">
        <v>8</v>
      </c>
      <c r="G59" s="12">
        <v>37.450000000000003</v>
      </c>
      <c r="H59" s="12">
        <f t="shared" si="2"/>
        <v>299.60000000000002</v>
      </c>
      <c r="I59" s="12">
        <f t="shared" si="1"/>
        <v>0</v>
      </c>
    </row>
    <row r="60" spans="1:9" outlineLevel="1" x14ac:dyDescent="0.25">
      <c r="A60" t="s">
        <v>190</v>
      </c>
      <c r="B60" t="s">
        <v>103</v>
      </c>
      <c r="C60" t="s">
        <v>191</v>
      </c>
      <c r="D60" t="s">
        <v>6</v>
      </c>
      <c r="E60">
        <v>6</v>
      </c>
      <c r="G60" s="12">
        <v>37.450000000000003</v>
      </c>
      <c r="H60" s="12">
        <f t="shared" si="2"/>
        <v>224.70000000000002</v>
      </c>
      <c r="I60" s="12">
        <f t="shared" si="1"/>
        <v>0</v>
      </c>
    </row>
    <row r="61" spans="1:9" outlineLevel="1" x14ac:dyDescent="0.25">
      <c r="A61" t="s">
        <v>192</v>
      </c>
      <c r="B61" t="s">
        <v>103</v>
      </c>
      <c r="C61" t="s">
        <v>193</v>
      </c>
      <c r="D61" t="s">
        <v>6</v>
      </c>
      <c r="E61">
        <v>8</v>
      </c>
      <c r="G61" s="12">
        <v>101.3</v>
      </c>
      <c r="H61" s="12">
        <f t="shared" si="2"/>
        <v>810.4</v>
      </c>
      <c r="I61" s="12">
        <f t="shared" si="1"/>
        <v>0</v>
      </c>
    </row>
    <row r="62" spans="1:9" outlineLevel="1" x14ac:dyDescent="0.25">
      <c r="A62" t="s">
        <v>194</v>
      </c>
      <c r="B62" t="s">
        <v>103</v>
      </c>
      <c r="C62" t="s">
        <v>195</v>
      </c>
      <c r="D62" t="s">
        <v>6</v>
      </c>
      <c r="E62">
        <v>12</v>
      </c>
      <c r="G62" s="12">
        <v>385</v>
      </c>
      <c r="H62" s="12">
        <f t="shared" si="2"/>
        <v>4620</v>
      </c>
      <c r="I62" s="12">
        <f t="shared" si="1"/>
        <v>0</v>
      </c>
    </row>
    <row r="63" spans="1:9" outlineLevel="1" x14ac:dyDescent="0.25">
      <c r="A63" t="s">
        <v>196</v>
      </c>
      <c r="B63" t="s">
        <v>103</v>
      </c>
      <c r="C63" t="s">
        <v>197</v>
      </c>
      <c r="D63" t="s">
        <v>6</v>
      </c>
      <c r="E63">
        <v>6</v>
      </c>
      <c r="G63" s="12">
        <v>50.05</v>
      </c>
      <c r="H63" s="12">
        <f t="shared" si="2"/>
        <v>300.29999999999995</v>
      </c>
      <c r="I63" s="12">
        <f t="shared" si="1"/>
        <v>0</v>
      </c>
    </row>
    <row r="64" spans="1:9" outlineLevel="1" x14ac:dyDescent="0.25">
      <c r="A64" t="s">
        <v>198</v>
      </c>
      <c r="B64" t="s">
        <v>103</v>
      </c>
      <c r="C64" t="s">
        <v>199</v>
      </c>
      <c r="D64" t="s">
        <v>6</v>
      </c>
      <c r="E64">
        <v>4</v>
      </c>
      <c r="G64" s="12">
        <v>77.39</v>
      </c>
      <c r="H64" s="12">
        <f t="shared" si="2"/>
        <v>309.56</v>
      </c>
      <c r="I64" s="12">
        <f t="shared" si="1"/>
        <v>0</v>
      </c>
    </row>
    <row r="65" spans="1:9" outlineLevel="1" x14ac:dyDescent="0.25">
      <c r="A65" t="s">
        <v>200</v>
      </c>
      <c r="B65" t="s">
        <v>103</v>
      </c>
      <c r="C65" t="s">
        <v>201</v>
      </c>
      <c r="D65" t="s">
        <v>6</v>
      </c>
      <c r="E65">
        <v>5</v>
      </c>
      <c r="G65" s="12">
        <v>50.73</v>
      </c>
      <c r="H65" s="12">
        <f t="shared" si="2"/>
        <v>253.64999999999998</v>
      </c>
      <c r="I65" s="12">
        <f t="shared" si="1"/>
        <v>0</v>
      </c>
    </row>
    <row r="66" spans="1:9" outlineLevel="1" x14ac:dyDescent="0.25">
      <c r="A66" t="s">
        <v>202</v>
      </c>
      <c r="B66" t="s">
        <v>103</v>
      </c>
      <c r="C66" t="s">
        <v>203</v>
      </c>
      <c r="D66" t="s">
        <v>6</v>
      </c>
      <c r="E66">
        <v>2</v>
      </c>
      <c r="G66" s="12">
        <v>54.41</v>
      </c>
      <c r="H66" s="12">
        <f t="shared" si="2"/>
        <v>108.82</v>
      </c>
      <c r="I66" s="12">
        <f t="shared" si="1"/>
        <v>0</v>
      </c>
    </row>
    <row r="67" spans="1:9" outlineLevel="1" x14ac:dyDescent="0.25">
      <c r="A67" t="s">
        <v>204</v>
      </c>
      <c r="B67" t="s">
        <v>103</v>
      </c>
      <c r="C67" t="s">
        <v>205</v>
      </c>
      <c r="D67" t="s">
        <v>6</v>
      </c>
      <c r="E67">
        <v>1</v>
      </c>
      <c r="G67" s="12">
        <v>624.29999999999995</v>
      </c>
      <c r="H67" s="12">
        <f t="shared" si="2"/>
        <v>624.29999999999995</v>
      </c>
      <c r="I67" s="12">
        <f t="shared" si="1"/>
        <v>0</v>
      </c>
    </row>
    <row r="68" spans="1:9" outlineLevel="1" x14ac:dyDescent="0.25">
      <c r="A68" s="8"/>
      <c r="B68" s="8"/>
      <c r="C68" s="8" t="s">
        <v>206</v>
      </c>
      <c r="D68" s="8"/>
      <c r="E68" s="8"/>
      <c r="F68" s="8"/>
      <c r="G68" s="14"/>
      <c r="H68" s="14"/>
      <c r="I68" s="14"/>
    </row>
    <row r="69" spans="1:9" outlineLevel="1" x14ac:dyDescent="0.25">
      <c r="A69" t="s">
        <v>207</v>
      </c>
      <c r="B69" t="s">
        <v>103</v>
      </c>
      <c r="C69" t="s">
        <v>208</v>
      </c>
      <c r="D69" t="s">
        <v>6</v>
      </c>
      <c r="E69">
        <v>12</v>
      </c>
      <c r="G69" s="12">
        <v>53.24</v>
      </c>
      <c r="H69" s="12">
        <f t="shared" si="2"/>
        <v>638.88</v>
      </c>
      <c r="I69" s="12">
        <f t="shared" si="1"/>
        <v>0</v>
      </c>
    </row>
    <row r="70" spans="1:9" outlineLevel="1" x14ac:dyDescent="0.25">
      <c r="A70" t="s">
        <v>209</v>
      </c>
      <c r="B70" t="s">
        <v>103</v>
      </c>
      <c r="C70" t="s">
        <v>210</v>
      </c>
      <c r="D70" t="s">
        <v>6</v>
      </c>
      <c r="E70">
        <v>320</v>
      </c>
      <c r="G70" s="12">
        <v>4.9800000000000004</v>
      </c>
      <c r="H70" s="12">
        <f t="shared" si="2"/>
        <v>1593.6000000000001</v>
      </c>
      <c r="I70" s="12">
        <f t="shared" si="1"/>
        <v>0</v>
      </c>
    </row>
    <row r="71" spans="1:9" outlineLevel="1" x14ac:dyDescent="0.25">
      <c r="A71" t="s">
        <v>211</v>
      </c>
      <c r="B71" t="s">
        <v>103</v>
      </c>
      <c r="C71" t="s">
        <v>212</v>
      </c>
      <c r="D71" t="s">
        <v>6</v>
      </c>
      <c r="E71">
        <v>50</v>
      </c>
      <c r="G71" s="12">
        <v>3.76</v>
      </c>
      <c r="H71" s="12">
        <f t="shared" si="2"/>
        <v>188</v>
      </c>
      <c r="I71" s="12">
        <f t="shared" si="1"/>
        <v>0</v>
      </c>
    </row>
    <row r="72" spans="1:9" outlineLevel="1" x14ac:dyDescent="0.25">
      <c r="A72" t="s">
        <v>213</v>
      </c>
      <c r="B72" t="s">
        <v>103</v>
      </c>
      <c r="C72" t="s">
        <v>214</v>
      </c>
      <c r="D72" t="s">
        <v>6</v>
      </c>
      <c r="E72">
        <v>70</v>
      </c>
      <c r="G72" s="12">
        <v>6.88</v>
      </c>
      <c r="H72" s="12">
        <f t="shared" si="2"/>
        <v>481.59999999999997</v>
      </c>
      <c r="I72" s="12">
        <f t="shared" si="1"/>
        <v>0</v>
      </c>
    </row>
    <row r="73" spans="1:9" outlineLevel="1" x14ac:dyDescent="0.25">
      <c r="A73" t="s">
        <v>215</v>
      </c>
      <c r="B73" t="s">
        <v>103</v>
      </c>
      <c r="C73" t="s">
        <v>216</v>
      </c>
      <c r="D73" t="s">
        <v>6</v>
      </c>
      <c r="E73">
        <v>70</v>
      </c>
      <c r="G73" s="12">
        <v>10</v>
      </c>
      <c r="H73" s="12">
        <f t="shared" si="2"/>
        <v>700</v>
      </c>
      <c r="I73" s="12">
        <f>SUM(G73*F73)</f>
        <v>0</v>
      </c>
    </row>
    <row r="74" spans="1:9" outlineLevel="1" x14ac:dyDescent="0.25">
      <c r="A74" t="s">
        <v>217</v>
      </c>
      <c r="B74" t="s">
        <v>103</v>
      </c>
      <c r="C74" t="s">
        <v>218</v>
      </c>
      <c r="D74" t="s">
        <v>6</v>
      </c>
      <c r="E74">
        <v>5</v>
      </c>
      <c r="G74" s="12">
        <v>10</v>
      </c>
      <c r="H74" s="12">
        <f t="shared" si="2"/>
        <v>50</v>
      </c>
      <c r="I74" s="12">
        <f t="shared" si="1"/>
        <v>0</v>
      </c>
    </row>
    <row r="75" spans="1:9" outlineLevel="1" x14ac:dyDescent="0.25">
      <c r="A75" t="s">
        <v>219</v>
      </c>
      <c r="B75" t="s">
        <v>103</v>
      </c>
      <c r="C75" t="s">
        <v>220</v>
      </c>
      <c r="D75" t="s">
        <v>6</v>
      </c>
      <c r="E75">
        <v>5</v>
      </c>
      <c r="G75" s="12">
        <v>10</v>
      </c>
      <c r="H75" s="12">
        <f t="shared" si="2"/>
        <v>50</v>
      </c>
      <c r="I75" s="12">
        <f t="shared" ref="I75:I83" si="3">SUM(G75*F75)</f>
        <v>0</v>
      </c>
    </row>
    <row r="76" spans="1:9" outlineLevel="1" x14ac:dyDescent="0.25">
      <c r="A76" t="s">
        <v>221</v>
      </c>
      <c r="B76" t="s">
        <v>103</v>
      </c>
      <c r="C76" t="s">
        <v>222</v>
      </c>
      <c r="D76" t="s">
        <v>6</v>
      </c>
      <c r="E76">
        <v>5</v>
      </c>
      <c r="G76" s="12">
        <v>35.18</v>
      </c>
      <c r="H76" s="12">
        <f t="shared" si="2"/>
        <v>175.9</v>
      </c>
      <c r="I76" s="12">
        <f t="shared" si="3"/>
        <v>0</v>
      </c>
    </row>
    <row r="77" spans="1:9" outlineLevel="1" x14ac:dyDescent="0.25">
      <c r="A77" s="8"/>
      <c r="B77" s="8"/>
      <c r="C77" s="8" t="s">
        <v>132</v>
      </c>
      <c r="D77" s="8"/>
      <c r="E77" s="8"/>
      <c r="F77" s="8"/>
      <c r="G77" s="14"/>
      <c r="H77" s="14"/>
      <c r="I77" s="14"/>
    </row>
    <row r="78" spans="1:9" outlineLevel="1" x14ac:dyDescent="0.25">
      <c r="A78" t="s">
        <v>223</v>
      </c>
      <c r="B78" t="s">
        <v>103</v>
      </c>
      <c r="C78" t="s">
        <v>224</v>
      </c>
      <c r="D78" t="s">
        <v>6</v>
      </c>
      <c r="E78">
        <v>4</v>
      </c>
      <c r="G78" s="12">
        <v>37.5</v>
      </c>
      <c r="H78" s="12">
        <f t="shared" si="2"/>
        <v>150</v>
      </c>
      <c r="I78" s="12">
        <f t="shared" si="3"/>
        <v>0</v>
      </c>
    </row>
    <row r="79" spans="1:9" outlineLevel="1" x14ac:dyDescent="0.25">
      <c r="A79" t="s">
        <v>225</v>
      </c>
      <c r="B79" t="s">
        <v>103</v>
      </c>
      <c r="C79" t="s">
        <v>226</v>
      </c>
      <c r="D79" t="s">
        <v>6</v>
      </c>
      <c r="E79">
        <v>10</v>
      </c>
      <c r="G79" s="12">
        <v>49.4</v>
      </c>
      <c r="H79" s="12">
        <f t="shared" si="2"/>
        <v>494</v>
      </c>
      <c r="I79" s="12">
        <f t="shared" si="3"/>
        <v>0</v>
      </c>
    </row>
    <row r="80" spans="1:9" outlineLevel="1" x14ac:dyDescent="0.25">
      <c r="A80" t="s">
        <v>227</v>
      </c>
      <c r="B80" t="s">
        <v>103</v>
      </c>
      <c r="C80" t="s">
        <v>228</v>
      </c>
      <c r="D80" t="s">
        <v>6</v>
      </c>
      <c r="E80">
        <v>3</v>
      </c>
      <c r="G80" s="12">
        <v>49.4</v>
      </c>
      <c r="H80" s="12">
        <f t="shared" si="2"/>
        <v>148.19999999999999</v>
      </c>
      <c r="I80" s="12">
        <f t="shared" si="3"/>
        <v>0</v>
      </c>
    </row>
    <row r="81" spans="1:9" outlineLevel="1" x14ac:dyDescent="0.25">
      <c r="A81" t="s">
        <v>229</v>
      </c>
      <c r="B81" t="s">
        <v>103</v>
      </c>
      <c r="C81" t="s">
        <v>230</v>
      </c>
      <c r="D81" t="s">
        <v>6</v>
      </c>
      <c r="E81">
        <v>10</v>
      </c>
      <c r="G81" s="12">
        <v>49.4</v>
      </c>
      <c r="H81" s="12">
        <f t="shared" si="2"/>
        <v>494</v>
      </c>
      <c r="I81" s="12">
        <f t="shared" si="3"/>
        <v>0</v>
      </c>
    </row>
    <row r="82" spans="1:9" outlineLevel="1" x14ac:dyDescent="0.25">
      <c r="A82" t="s">
        <v>231</v>
      </c>
      <c r="B82" t="s">
        <v>103</v>
      </c>
      <c r="C82" t="s">
        <v>232</v>
      </c>
      <c r="D82" t="s">
        <v>6</v>
      </c>
      <c r="E82">
        <v>240</v>
      </c>
      <c r="G82" s="12">
        <v>4.9800000000000004</v>
      </c>
      <c r="H82" s="12">
        <f t="shared" si="2"/>
        <v>1195.2</v>
      </c>
      <c r="I82" s="12">
        <f t="shared" si="3"/>
        <v>0</v>
      </c>
    </row>
    <row r="83" spans="1:9" outlineLevel="1" x14ac:dyDescent="0.25">
      <c r="A83" t="s">
        <v>233</v>
      </c>
      <c r="B83" t="s">
        <v>103</v>
      </c>
      <c r="C83" t="s">
        <v>234</v>
      </c>
      <c r="D83" t="s">
        <v>6</v>
      </c>
      <c r="E83">
        <v>4</v>
      </c>
      <c r="G83" s="12">
        <v>176.18</v>
      </c>
      <c r="H83" s="12">
        <f t="shared" si="2"/>
        <v>704.72</v>
      </c>
      <c r="I83" s="12">
        <f t="shared" si="3"/>
        <v>0</v>
      </c>
    </row>
    <row r="84" spans="1:9" outlineLevel="1" x14ac:dyDescent="0.25">
      <c r="A84" t="s">
        <v>235</v>
      </c>
      <c r="B84" t="s">
        <v>103</v>
      </c>
      <c r="C84" t="s">
        <v>236</v>
      </c>
      <c r="D84" t="s">
        <v>6</v>
      </c>
      <c r="E84">
        <v>1</v>
      </c>
      <c r="G84" s="12">
        <v>101.3</v>
      </c>
      <c r="H84" s="12">
        <f t="shared" si="2"/>
        <v>101.3</v>
      </c>
      <c r="I84" s="12">
        <f>SUM(G84*F84)</f>
        <v>0</v>
      </c>
    </row>
    <row r="85" spans="1:9" x14ac:dyDescent="0.25">
      <c r="A85" s="9" t="s">
        <v>237</v>
      </c>
      <c r="B85" s="9"/>
      <c r="C85" s="9" t="s">
        <v>238</v>
      </c>
      <c r="D85" s="9"/>
      <c r="E85" s="9"/>
      <c r="F85" s="9"/>
      <c r="G85" s="13"/>
      <c r="H85" s="13">
        <f>SUM(H86:H234)</f>
        <v>239317.37000000008</v>
      </c>
      <c r="I85" s="13">
        <f>SUM(I86:I234)</f>
        <v>83270.973000000013</v>
      </c>
    </row>
    <row r="86" spans="1:9" outlineLevel="1" x14ac:dyDescent="0.25">
      <c r="A86" s="8" t="s">
        <v>239</v>
      </c>
      <c r="B86" s="8"/>
      <c r="C86" s="8" t="s">
        <v>240</v>
      </c>
      <c r="D86" s="8"/>
      <c r="E86" s="8"/>
      <c r="F86" s="8"/>
      <c r="G86" s="14"/>
      <c r="H86" s="14"/>
      <c r="I86" s="14"/>
    </row>
    <row r="87" spans="1:9" outlineLevel="1" x14ac:dyDescent="0.25">
      <c r="A87" s="8"/>
      <c r="B87" s="8"/>
      <c r="C87" s="8" t="s">
        <v>241</v>
      </c>
      <c r="D87" s="8"/>
      <c r="E87" s="8"/>
      <c r="F87" s="8"/>
      <c r="G87" s="14"/>
      <c r="H87" s="14"/>
      <c r="I87" s="14"/>
    </row>
    <row r="88" spans="1:9" outlineLevel="1" x14ac:dyDescent="0.25">
      <c r="A88" t="s">
        <v>242</v>
      </c>
      <c r="B88" t="s">
        <v>103</v>
      </c>
      <c r="C88" t="s">
        <v>243</v>
      </c>
      <c r="D88" t="s">
        <v>0</v>
      </c>
      <c r="E88">
        <v>265</v>
      </c>
      <c r="G88" s="12">
        <v>148.46</v>
      </c>
      <c r="H88" s="12">
        <f>SUM(E88*G88)</f>
        <v>39341.9</v>
      </c>
      <c r="I88" s="12">
        <f>G88*F88</f>
        <v>0</v>
      </c>
    </row>
    <row r="89" spans="1:9" outlineLevel="1" x14ac:dyDescent="0.25">
      <c r="A89" s="8"/>
      <c r="B89" s="8"/>
      <c r="C89" s="8" t="s">
        <v>244</v>
      </c>
      <c r="D89" s="8"/>
      <c r="E89" s="8"/>
      <c r="F89" s="8"/>
      <c r="G89" s="14"/>
      <c r="H89" s="14"/>
      <c r="I89" s="14"/>
    </row>
    <row r="90" spans="1:9" outlineLevel="1" x14ac:dyDescent="0.25">
      <c r="A90" t="s">
        <v>245</v>
      </c>
      <c r="B90" t="s">
        <v>103</v>
      </c>
      <c r="C90" t="s">
        <v>246</v>
      </c>
      <c r="D90" t="s">
        <v>6</v>
      </c>
      <c r="E90">
        <v>8</v>
      </c>
      <c r="G90" s="12">
        <v>95</v>
      </c>
      <c r="H90" s="12">
        <f t="shared" ref="H90:H152" si="4">SUM(E90*G90)</f>
        <v>760</v>
      </c>
      <c r="I90" s="12">
        <f t="shared" ref="I90:I152" si="5">G90*F90</f>
        <v>0</v>
      </c>
    </row>
    <row r="91" spans="1:9" outlineLevel="1" x14ac:dyDescent="0.25">
      <c r="A91" s="8"/>
      <c r="B91" s="8"/>
      <c r="C91" s="8" t="s">
        <v>247</v>
      </c>
      <c r="D91" s="8"/>
      <c r="E91" s="8"/>
      <c r="F91" s="8"/>
      <c r="G91" s="14"/>
      <c r="H91" s="14"/>
      <c r="I91" s="14"/>
    </row>
    <row r="92" spans="1:9" outlineLevel="1" x14ac:dyDescent="0.25">
      <c r="A92" t="s">
        <v>248</v>
      </c>
      <c r="B92" t="s">
        <v>103</v>
      </c>
      <c r="C92" t="s">
        <v>249</v>
      </c>
      <c r="D92" t="s">
        <v>0</v>
      </c>
      <c r="E92">
        <v>200</v>
      </c>
      <c r="G92" s="12">
        <v>4.92</v>
      </c>
      <c r="H92" s="12">
        <f t="shared" si="4"/>
        <v>984</v>
      </c>
      <c r="I92" s="12">
        <f t="shared" si="5"/>
        <v>0</v>
      </c>
    </row>
    <row r="93" spans="1:9" outlineLevel="1" x14ac:dyDescent="0.25">
      <c r="A93" t="s">
        <v>250</v>
      </c>
      <c r="B93" t="s">
        <v>103</v>
      </c>
      <c r="C93" t="s">
        <v>251</v>
      </c>
      <c r="D93" t="s">
        <v>0</v>
      </c>
      <c r="E93">
        <v>220</v>
      </c>
      <c r="G93" s="12">
        <v>40.97</v>
      </c>
      <c r="H93" s="12">
        <f t="shared" si="4"/>
        <v>9013.4</v>
      </c>
      <c r="I93" s="12">
        <f t="shared" si="5"/>
        <v>0</v>
      </c>
    </row>
    <row r="94" spans="1:9" outlineLevel="1" x14ac:dyDescent="0.25">
      <c r="A94" t="s">
        <v>252</v>
      </c>
      <c r="B94" t="s">
        <v>103</v>
      </c>
      <c r="C94" t="s">
        <v>253</v>
      </c>
      <c r="D94" t="s">
        <v>0</v>
      </c>
      <c r="E94">
        <v>280</v>
      </c>
      <c r="G94" s="12">
        <v>58.68</v>
      </c>
      <c r="H94" s="12">
        <f t="shared" si="4"/>
        <v>16430.400000000001</v>
      </c>
      <c r="I94" s="12">
        <f t="shared" si="5"/>
        <v>0</v>
      </c>
    </row>
    <row r="95" spans="1:9" outlineLevel="1" x14ac:dyDescent="0.25">
      <c r="A95" t="s">
        <v>254</v>
      </c>
      <c r="B95" t="s">
        <v>103</v>
      </c>
      <c r="C95" t="s">
        <v>255</v>
      </c>
      <c r="D95" t="s">
        <v>0</v>
      </c>
      <c r="E95">
        <v>38</v>
      </c>
      <c r="G95" s="12">
        <v>18.72</v>
      </c>
      <c r="H95" s="12">
        <f t="shared" si="4"/>
        <v>711.3599999999999</v>
      </c>
      <c r="I95" s="12">
        <f t="shared" si="5"/>
        <v>0</v>
      </c>
    </row>
    <row r="96" spans="1:9" outlineLevel="1" x14ac:dyDescent="0.25">
      <c r="A96" s="8" t="s">
        <v>256</v>
      </c>
      <c r="B96" s="8"/>
      <c r="C96" s="8" t="s">
        <v>257</v>
      </c>
      <c r="D96" s="8"/>
      <c r="E96" s="8"/>
      <c r="F96" s="8"/>
      <c r="G96" s="14"/>
      <c r="H96" s="14"/>
      <c r="I96" s="14"/>
    </row>
    <row r="97" spans="1:9" outlineLevel="1" x14ac:dyDescent="0.25">
      <c r="A97" t="s">
        <v>258</v>
      </c>
      <c r="B97" t="s">
        <v>103</v>
      </c>
      <c r="C97" t="s">
        <v>259</v>
      </c>
      <c r="D97" t="s">
        <v>0</v>
      </c>
      <c r="E97">
        <v>40</v>
      </c>
      <c r="G97" s="12">
        <v>39.200000000000003</v>
      </c>
      <c r="H97" s="12">
        <f t="shared" si="4"/>
        <v>1568</v>
      </c>
      <c r="I97" s="12">
        <f t="shared" si="5"/>
        <v>0</v>
      </c>
    </row>
    <row r="98" spans="1:9" outlineLevel="1" x14ac:dyDescent="0.25">
      <c r="A98" t="s">
        <v>260</v>
      </c>
      <c r="B98" t="s">
        <v>103</v>
      </c>
      <c r="C98" t="s">
        <v>261</v>
      </c>
      <c r="D98" t="s">
        <v>6</v>
      </c>
      <c r="E98">
        <v>100</v>
      </c>
      <c r="G98" s="12">
        <v>5.96</v>
      </c>
      <c r="H98" s="12">
        <f t="shared" si="4"/>
        <v>596</v>
      </c>
      <c r="I98" s="12">
        <f t="shared" si="5"/>
        <v>0</v>
      </c>
    </row>
    <row r="99" spans="1:9" outlineLevel="1" x14ac:dyDescent="0.25">
      <c r="A99" t="s">
        <v>262</v>
      </c>
      <c r="B99" t="s">
        <v>103</v>
      </c>
      <c r="C99" t="s">
        <v>263</v>
      </c>
      <c r="D99" t="s">
        <v>6</v>
      </c>
      <c r="E99">
        <v>180</v>
      </c>
      <c r="G99" s="12">
        <v>10.029999999999999</v>
      </c>
      <c r="H99" s="12">
        <f t="shared" si="4"/>
        <v>1805.3999999999999</v>
      </c>
      <c r="I99" s="12">
        <f t="shared" si="5"/>
        <v>0</v>
      </c>
    </row>
    <row r="100" spans="1:9" outlineLevel="1" x14ac:dyDescent="0.25">
      <c r="A100" t="s">
        <v>264</v>
      </c>
      <c r="B100" t="s">
        <v>103</v>
      </c>
      <c r="C100" t="s">
        <v>265</v>
      </c>
      <c r="D100" t="s">
        <v>6</v>
      </c>
      <c r="E100">
        <v>35</v>
      </c>
      <c r="G100" s="12">
        <v>15.63</v>
      </c>
      <c r="H100" s="12">
        <f t="shared" si="4"/>
        <v>547.05000000000007</v>
      </c>
      <c r="I100" s="12">
        <f t="shared" si="5"/>
        <v>0</v>
      </c>
    </row>
    <row r="101" spans="1:9" outlineLevel="1" x14ac:dyDescent="0.25">
      <c r="A101" t="s">
        <v>5</v>
      </c>
      <c r="B101" t="s">
        <v>103</v>
      </c>
      <c r="C101" t="s">
        <v>1</v>
      </c>
      <c r="D101" t="s">
        <v>6</v>
      </c>
      <c r="E101">
        <v>200</v>
      </c>
      <c r="F101">
        <v>145</v>
      </c>
      <c r="G101" s="12">
        <v>10.83</v>
      </c>
      <c r="H101" s="12">
        <f t="shared" si="4"/>
        <v>2166</v>
      </c>
      <c r="I101" s="12">
        <f t="shared" si="5"/>
        <v>1570.35</v>
      </c>
    </row>
    <row r="102" spans="1:9" outlineLevel="1" x14ac:dyDescent="0.25">
      <c r="A102" t="s">
        <v>266</v>
      </c>
      <c r="B102" t="s">
        <v>103</v>
      </c>
      <c r="C102" t="s">
        <v>2</v>
      </c>
      <c r="D102" t="s">
        <v>6</v>
      </c>
      <c r="E102">
        <v>450</v>
      </c>
      <c r="G102" s="12">
        <v>7.29</v>
      </c>
      <c r="H102" s="12">
        <f t="shared" si="4"/>
        <v>3280.5</v>
      </c>
      <c r="I102" s="12">
        <f t="shared" si="5"/>
        <v>0</v>
      </c>
    </row>
    <row r="103" spans="1:9" outlineLevel="1" x14ac:dyDescent="0.25">
      <c r="A103" t="s">
        <v>267</v>
      </c>
      <c r="B103" t="s">
        <v>103</v>
      </c>
      <c r="C103" t="s">
        <v>3</v>
      </c>
      <c r="D103" t="s">
        <v>6</v>
      </c>
      <c r="E103">
        <v>700</v>
      </c>
      <c r="F103">
        <v>301</v>
      </c>
      <c r="G103" s="12">
        <v>7.3</v>
      </c>
      <c r="H103" s="12">
        <f t="shared" si="4"/>
        <v>5110</v>
      </c>
      <c r="I103" s="12">
        <f t="shared" si="5"/>
        <v>2197.2999999999997</v>
      </c>
    </row>
    <row r="104" spans="1:9" outlineLevel="1" x14ac:dyDescent="0.25">
      <c r="A104" t="s">
        <v>268</v>
      </c>
      <c r="B104" t="s">
        <v>103</v>
      </c>
      <c r="C104" t="s">
        <v>4</v>
      </c>
      <c r="D104" t="s">
        <v>6</v>
      </c>
      <c r="E104">
        <v>350</v>
      </c>
      <c r="F104" s="4">
        <v>1740</v>
      </c>
      <c r="G104" s="12">
        <v>8.1</v>
      </c>
      <c r="H104" s="12">
        <f t="shared" si="4"/>
        <v>2835</v>
      </c>
      <c r="I104" s="12">
        <f t="shared" si="5"/>
        <v>14094</v>
      </c>
    </row>
    <row r="105" spans="1:9" outlineLevel="1" x14ac:dyDescent="0.25">
      <c r="A105" s="8"/>
      <c r="B105" s="8"/>
      <c r="C105" s="8" t="s">
        <v>269</v>
      </c>
      <c r="D105" s="8"/>
      <c r="E105" s="8"/>
      <c r="F105" s="8"/>
      <c r="G105" s="14"/>
      <c r="H105" s="14"/>
      <c r="I105" s="14"/>
    </row>
    <row r="106" spans="1:9" outlineLevel="1" x14ac:dyDescent="0.25">
      <c r="A106" t="s">
        <v>270</v>
      </c>
      <c r="B106" t="s">
        <v>103</v>
      </c>
      <c r="C106" t="s">
        <v>271</v>
      </c>
      <c r="D106" t="s">
        <v>0</v>
      </c>
      <c r="E106">
        <v>16</v>
      </c>
      <c r="G106" s="12">
        <v>47.7</v>
      </c>
      <c r="H106" s="12">
        <f t="shared" si="4"/>
        <v>763.2</v>
      </c>
      <c r="I106" s="12">
        <f t="shared" si="5"/>
        <v>0</v>
      </c>
    </row>
    <row r="107" spans="1:9" outlineLevel="1" x14ac:dyDescent="0.25">
      <c r="A107" t="s">
        <v>272</v>
      </c>
      <c r="B107" t="s">
        <v>103</v>
      </c>
      <c r="C107" t="s">
        <v>273</v>
      </c>
      <c r="D107" t="s">
        <v>0</v>
      </c>
      <c r="E107">
        <v>16</v>
      </c>
      <c r="G107" s="12">
        <v>16.579999999999998</v>
      </c>
      <c r="H107" s="12">
        <f t="shared" si="4"/>
        <v>265.27999999999997</v>
      </c>
      <c r="I107" s="12">
        <f t="shared" si="5"/>
        <v>0</v>
      </c>
    </row>
    <row r="108" spans="1:9" outlineLevel="1" x14ac:dyDescent="0.25">
      <c r="A108" t="s">
        <v>274</v>
      </c>
      <c r="B108" t="s">
        <v>103</v>
      </c>
      <c r="C108" t="s">
        <v>275</v>
      </c>
      <c r="D108" t="s">
        <v>6</v>
      </c>
      <c r="E108">
        <v>4</v>
      </c>
      <c r="G108" s="12">
        <v>37.5</v>
      </c>
      <c r="H108" s="12">
        <f t="shared" si="4"/>
        <v>150</v>
      </c>
      <c r="I108" s="12">
        <f t="shared" si="5"/>
        <v>0</v>
      </c>
    </row>
    <row r="109" spans="1:9" outlineLevel="1" x14ac:dyDescent="0.25">
      <c r="A109" t="s">
        <v>276</v>
      </c>
      <c r="B109" t="s">
        <v>103</v>
      </c>
      <c r="C109" t="s">
        <v>277</v>
      </c>
      <c r="D109" t="s">
        <v>0</v>
      </c>
      <c r="E109">
        <v>85</v>
      </c>
      <c r="G109" s="12">
        <v>22.93</v>
      </c>
      <c r="H109" s="12">
        <f t="shared" si="4"/>
        <v>1949.05</v>
      </c>
      <c r="I109" s="12">
        <f t="shared" si="5"/>
        <v>0</v>
      </c>
    </row>
    <row r="110" spans="1:9" outlineLevel="1" x14ac:dyDescent="0.25">
      <c r="A110" t="s">
        <v>278</v>
      </c>
      <c r="B110" t="s">
        <v>103</v>
      </c>
      <c r="C110" t="s">
        <v>279</v>
      </c>
      <c r="D110" t="s">
        <v>0</v>
      </c>
      <c r="E110">
        <v>20</v>
      </c>
      <c r="G110" s="12">
        <v>14.2</v>
      </c>
      <c r="H110" s="12">
        <f t="shared" si="4"/>
        <v>284</v>
      </c>
      <c r="I110" s="12">
        <f t="shared" si="5"/>
        <v>0</v>
      </c>
    </row>
    <row r="111" spans="1:9" outlineLevel="1" x14ac:dyDescent="0.25">
      <c r="A111" t="s">
        <v>280</v>
      </c>
      <c r="B111" t="s">
        <v>103</v>
      </c>
      <c r="C111" t="s">
        <v>281</v>
      </c>
      <c r="D111" t="s">
        <v>0</v>
      </c>
      <c r="E111">
        <v>10</v>
      </c>
      <c r="G111" s="12">
        <v>19.57</v>
      </c>
      <c r="H111" s="12">
        <f t="shared" si="4"/>
        <v>195.7</v>
      </c>
      <c r="I111" s="12">
        <f t="shared" si="5"/>
        <v>0</v>
      </c>
    </row>
    <row r="112" spans="1:9" outlineLevel="1" x14ac:dyDescent="0.25">
      <c r="A112" t="s">
        <v>282</v>
      </c>
      <c r="B112" t="s">
        <v>103</v>
      </c>
      <c r="C112" t="s">
        <v>283</v>
      </c>
      <c r="D112" t="s">
        <v>0</v>
      </c>
      <c r="E112">
        <v>20</v>
      </c>
      <c r="G112" s="12">
        <v>44.21</v>
      </c>
      <c r="H112" s="12">
        <f t="shared" si="4"/>
        <v>884.2</v>
      </c>
      <c r="I112" s="12">
        <f t="shared" si="5"/>
        <v>0</v>
      </c>
    </row>
    <row r="113" spans="1:9" outlineLevel="1" x14ac:dyDescent="0.25">
      <c r="A113" s="8"/>
      <c r="B113" s="8"/>
      <c r="C113" s="8" t="s">
        <v>284</v>
      </c>
      <c r="D113" s="8"/>
      <c r="E113" s="8"/>
      <c r="F113" s="8"/>
      <c r="G113" s="14"/>
      <c r="H113" s="14"/>
      <c r="I113" s="14"/>
    </row>
    <row r="114" spans="1:9" outlineLevel="1" x14ac:dyDescent="0.25">
      <c r="A114" t="s">
        <v>10</v>
      </c>
      <c r="B114" t="s">
        <v>103</v>
      </c>
      <c r="C114" t="s">
        <v>7</v>
      </c>
      <c r="D114" t="s">
        <v>0</v>
      </c>
      <c r="E114">
        <v>45</v>
      </c>
      <c r="F114">
        <v>33</v>
      </c>
      <c r="G114" s="12">
        <v>36.15</v>
      </c>
      <c r="H114" s="12">
        <f t="shared" si="4"/>
        <v>1626.75</v>
      </c>
      <c r="I114" s="12">
        <f t="shared" si="5"/>
        <v>1192.95</v>
      </c>
    </row>
    <row r="115" spans="1:9" outlineLevel="1" x14ac:dyDescent="0.25">
      <c r="A115" t="s">
        <v>11</v>
      </c>
      <c r="B115" t="s">
        <v>103</v>
      </c>
      <c r="C115" t="s">
        <v>8</v>
      </c>
      <c r="D115" t="s">
        <v>0</v>
      </c>
      <c r="E115">
        <v>450</v>
      </c>
      <c r="F115">
        <v>377.6</v>
      </c>
      <c r="G115" s="12">
        <v>46.07</v>
      </c>
      <c r="H115" s="12">
        <f t="shared" si="4"/>
        <v>20731.5</v>
      </c>
      <c r="I115" s="12">
        <f t="shared" si="5"/>
        <v>17396.032000000003</v>
      </c>
    </row>
    <row r="116" spans="1:9" outlineLevel="1" x14ac:dyDescent="0.25">
      <c r="A116" t="s">
        <v>12</v>
      </c>
      <c r="B116" t="s">
        <v>103</v>
      </c>
      <c r="C116" t="s">
        <v>9</v>
      </c>
      <c r="D116" t="s">
        <v>0</v>
      </c>
      <c r="E116">
        <v>55</v>
      </c>
      <c r="F116">
        <v>75.3</v>
      </c>
      <c r="G116" s="12">
        <v>57.27</v>
      </c>
      <c r="H116" s="12">
        <f t="shared" si="4"/>
        <v>3149.8500000000004</v>
      </c>
      <c r="I116" s="12">
        <f t="shared" si="5"/>
        <v>4312.4310000000005</v>
      </c>
    </row>
    <row r="117" spans="1:9" outlineLevel="1" x14ac:dyDescent="0.25">
      <c r="A117" t="s">
        <v>13</v>
      </c>
      <c r="B117" t="s">
        <v>103</v>
      </c>
      <c r="C117" t="s">
        <v>19</v>
      </c>
      <c r="D117" t="s">
        <v>6</v>
      </c>
      <c r="E117">
        <v>56</v>
      </c>
      <c r="F117">
        <v>33</v>
      </c>
      <c r="G117" s="12">
        <v>18.350000000000001</v>
      </c>
      <c r="H117" s="12">
        <f t="shared" si="4"/>
        <v>1027.6000000000001</v>
      </c>
      <c r="I117" s="12">
        <f t="shared" si="5"/>
        <v>605.55000000000007</v>
      </c>
    </row>
    <row r="118" spans="1:9" outlineLevel="1" x14ac:dyDescent="0.25">
      <c r="A118" t="s">
        <v>14</v>
      </c>
      <c r="B118" t="s">
        <v>103</v>
      </c>
      <c r="C118" t="s">
        <v>20</v>
      </c>
      <c r="D118" t="s">
        <v>6</v>
      </c>
      <c r="E118">
        <v>562</v>
      </c>
      <c r="F118">
        <v>251</v>
      </c>
      <c r="G118" s="12">
        <v>22.23</v>
      </c>
      <c r="H118" s="12">
        <f t="shared" si="4"/>
        <v>12493.26</v>
      </c>
      <c r="I118" s="12">
        <f t="shared" si="5"/>
        <v>5579.7300000000005</v>
      </c>
    </row>
    <row r="119" spans="1:9" outlineLevel="1" x14ac:dyDescent="0.25">
      <c r="A119" t="s">
        <v>15</v>
      </c>
      <c r="B119" t="s">
        <v>103</v>
      </c>
      <c r="C119" t="s">
        <v>21</v>
      </c>
      <c r="D119" t="s">
        <v>6</v>
      </c>
      <c r="E119">
        <v>68</v>
      </c>
      <c r="F119">
        <v>170</v>
      </c>
      <c r="G119" s="12">
        <v>26.84</v>
      </c>
      <c r="H119" s="12">
        <f t="shared" si="4"/>
        <v>1825.12</v>
      </c>
      <c r="I119" s="12">
        <f t="shared" si="5"/>
        <v>4562.8</v>
      </c>
    </row>
    <row r="120" spans="1:9" outlineLevel="1" x14ac:dyDescent="0.25">
      <c r="A120" t="s">
        <v>16</v>
      </c>
      <c r="B120" t="s">
        <v>103</v>
      </c>
      <c r="C120" t="s">
        <v>22</v>
      </c>
      <c r="D120" t="s">
        <v>6</v>
      </c>
      <c r="E120">
        <v>4</v>
      </c>
      <c r="F120">
        <v>7</v>
      </c>
      <c r="G120" s="12">
        <v>61.83</v>
      </c>
      <c r="H120" s="12">
        <f t="shared" si="4"/>
        <v>247.32</v>
      </c>
      <c r="I120" s="12">
        <f t="shared" si="5"/>
        <v>432.81</v>
      </c>
    </row>
    <row r="121" spans="1:9" outlineLevel="1" x14ac:dyDescent="0.25">
      <c r="A121" t="s">
        <v>17</v>
      </c>
      <c r="B121" t="s">
        <v>103</v>
      </c>
      <c r="C121" t="s">
        <v>23</v>
      </c>
      <c r="D121" t="s">
        <v>6</v>
      </c>
      <c r="E121">
        <v>18</v>
      </c>
      <c r="F121">
        <v>86</v>
      </c>
      <c r="G121" s="12">
        <v>65.430000000000007</v>
      </c>
      <c r="H121" s="12">
        <f t="shared" si="4"/>
        <v>1177.7400000000002</v>
      </c>
      <c r="I121" s="12">
        <f t="shared" si="5"/>
        <v>5626.9800000000005</v>
      </c>
    </row>
    <row r="122" spans="1:9" outlineLevel="1" x14ac:dyDescent="0.25">
      <c r="A122" t="s">
        <v>18</v>
      </c>
      <c r="B122" t="s">
        <v>103</v>
      </c>
      <c r="C122" t="s">
        <v>24</v>
      </c>
      <c r="D122" t="s">
        <v>6</v>
      </c>
      <c r="E122">
        <v>10</v>
      </c>
      <c r="F122">
        <v>10</v>
      </c>
      <c r="G122" s="12">
        <v>69.16</v>
      </c>
      <c r="H122" s="12">
        <f t="shared" si="4"/>
        <v>691.59999999999991</v>
      </c>
      <c r="I122" s="12">
        <f t="shared" si="5"/>
        <v>691.59999999999991</v>
      </c>
    </row>
    <row r="123" spans="1:9" outlineLevel="1" x14ac:dyDescent="0.25">
      <c r="A123" t="s">
        <v>285</v>
      </c>
      <c r="B123" t="s">
        <v>103</v>
      </c>
      <c r="C123" t="s">
        <v>286</v>
      </c>
      <c r="D123" t="s">
        <v>0</v>
      </c>
      <c r="E123">
        <v>45</v>
      </c>
      <c r="G123" s="12">
        <v>34.76</v>
      </c>
      <c r="H123" s="12">
        <f t="shared" si="4"/>
        <v>1564.1999999999998</v>
      </c>
      <c r="I123" s="12">
        <f t="shared" si="5"/>
        <v>0</v>
      </c>
    </row>
    <row r="124" spans="1:9" outlineLevel="1" x14ac:dyDescent="0.25">
      <c r="A124" t="s">
        <v>287</v>
      </c>
      <c r="B124" t="s">
        <v>103</v>
      </c>
      <c r="C124" t="s">
        <v>288</v>
      </c>
      <c r="D124" t="s">
        <v>0</v>
      </c>
      <c r="E124">
        <v>40</v>
      </c>
      <c r="G124" s="12">
        <v>74.77</v>
      </c>
      <c r="H124" s="12">
        <f t="shared" si="4"/>
        <v>2990.7999999999997</v>
      </c>
      <c r="I124" s="12">
        <f t="shared" si="5"/>
        <v>0</v>
      </c>
    </row>
    <row r="125" spans="1:9" outlineLevel="1" x14ac:dyDescent="0.25">
      <c r="A125" t="s">
        <v>289</v>
      </c>
      <c r="B125" t="s">
        <v>103</v>
      </c>
      <c r="C125" t="s">
        <v>290</v>
      </c>
      <c r="D125" t="s">
        <v>0</v>
      </c>
      <c r="E125">
        <v>30</v>
      </c>
      <c r="G125" s="12">
        <v>85.03</v>
      </c>
      <c r="H125" s="12">
        <f t="shared" si="4"/>
        <v>2550.9</v>
      </c>
      <c r="I125" s="12">
        <f t="shared" si="5"/>
        <v>0</v>
      </c>
    </row>
    <row r="126" spans="1:9" outlineLevel="1" x14ac:dyDescent="0.25">
      <c r="A126" s="8"/>
      <c r="B126" s="8"/>
      <c r="C126" s="8" t="s">
        <v>291</v>
      </c>
      <c r="D126" s="8"/>
      <c r="E126" s="8"/>
      <c r="F126" s="8"/>
      <c r="G126" s="14"/>
      <c r="H126" s="14"/>
      <c r="I126" s="14"/>
    </row>
    <row r="127" spans="1:9" outlineLevel="1" x14ac:dyDescent="0.25">
      <c r="A127" t="s">
        <v>292</v>
      </c>
      <c r="B127" t="s">
        <v>103</v>
      </c>
      <c r="C127" t="s">
        <v>293</v>
      </c>
      <c r="D127" t="s">
        <v>0</v>
      </c>
      <c r="E127">
        <v>300</v>
      </c>
      <c r="G127" s="12">
        <v>7.49</v>
      </c>
      <c r="H127" s="12">
        <f t="shared" si="4"/>
        <v>2247</v>
      </c>
      <c r="I127" s="12">
        <f t="shared" si="5"/>
        <v>0</v>
      </c>
    </row>
    <row r="128" spans="1:9" outlineLevel="1" x14ac:dyDescent="0.25">
      <c r="A128" t="s">
        <v>25</v>
      </c>
      <c r="B128" t="s">
        <v>103</v>
      </c>
      <c r="C128" t="s">
        <v>26</v>
      </c>
      <c r="D128" t="s">
        <v>0</v>
      </c>
      <c r="E128">
        <v>100</v>
      </c>
      <c r="F128">
        <v>33</v>
      </c>
      <c r="G128" s="12">
        <v>16.079999999999998</v>
      </c>
      <c r="H128" s="12">
        <f t="shared" si="4"/>
        <v>1607.9999999999998</v>
      </c>
      <c r="I128" s="12">
        <f t="shared" si="5"/>
        <v>530.64</v>
      </c>
    </row>
    <row r="129" spans="1:9" outlineLevel="1" x14ac:dyDescent="0.25">
      <c r="A129" t="s">
        <v>294</v>
      </c>
      <c r="B129" t="s">
        <v>103</v>
      </c>
      <c r="C129" t="s">
        <v>295</v>
      </c>
      <c r="D129" t="s">
        <v>6</v>
      </c>
      <c r="E129">
        <v>20</v>
      </c>
      <c r="G129" s="12">
        <v>12.85</v>
      </c>
      <c r="H129" s="12">
        <f t="shared" si="4"/>
        <v>257</v>
      </c>
      <c r="I129" s="12">
        <f t="shared" si="5"/>
        <v>0</v>
      </c>
    </row>
    <row r="130" spans="1:9" outlineLevel="1" x14ac:dyDescent="0.25">
      <c r="A130" s="8" t="s">
        <v>296</v>
      </c>
      <c r="B130" s="8"/>
      <c r="C130" s="8" t="s">
        <v>297</v>
      </c>
      <c r="D130" s="8"/>
      <c r="E130" s="8"/>
      <c r="F130" s="8"/>
      <c r="G130" s="14"/>
      <c r="H130" s="14"/>
      <c r="I130" s="14"/>
    </row>
    <row r="131" spans="1:9" outlineLevel="1" x14ac:dyDescent="0.25">
      <c r="A131" s="8"/>
      <c r="B131" s="8"/>
      <c r="C131" s="8" t="s">
        <v>298</v>
      </c>
      <c r="D131" s="8"/>
      <c r="E131" s="8"/>
      <c r="F131" s="8"/>
      <c r="G131" s="14"/>
      <c r="H131" s="14"/>
      <c r="I131" s="14"/>
    </row>
    <row r="132" spans="1:9" outlineLevel="1" x14ac:dyDescent="0.25">
      <c r="A132" t="s">
        <v>299</v>
      </c>
      <c r="B132" t="s">
        <v>103</v>
      </c>
      <c r="C132" t="s">
        <v>300</v>
      </c>
      <c r="D132" t="s">
        <v>0</v>
      </c>
      <c r="E132">
        <v>50</v>
      </c>
      <c r="G132" s="12">
        <v>9.09</v>
      </c>
      <c r="H132" s="12">
        <f t="shared" si="4"/>
        <v>454.5</v>
      </c>
      <c r="I132" s="12">
        <f t="shared" si="5"/>
        <v>0</v>
      </c>
    </row>
    <row r="133" spans="1:9" outlineLevel="1" x14ac:dyDescent="0.25">
      <c r="A133" t="s">
        <v>301</v>
      </c>
      <c r="B133" t="s">
        <v>103</v>
      </c>
      <c r="C133" t="s">
        <v>302</v>
      </c>
      <c r="D133" t="s">
        <v>0</v>
      </c>
      <c r="E133">
        <v>200</v>
      </c>
      <c r="F133">
        <v>200</v>
      </c>
      <c r="G133" s="12">
        <v>3.85</v>
      </c>
      <c r="H133" s="12">
        <f t="shared" si="4"/>
        <v>770</v>
      </c>
      <c r="I133" s="12">
        <f t="shared" si="5"/>
        <v>770</v>
      </c>
    </row>
    <row r="134" spans="1:9" outlineLevel="1" x14ac:dyDescent="0.25">
      <c r="A134" t="s">
        <v>303</v>
      </c>
      <c r="B134" t="s">
        <v>103</v>
      </c>
      <c r="C134" t="s">
        <v>304</v>
      </c>
      <c r="D134" t="s">
        <v>0</v>
      </c>
      <c r="E134">
        <v>700</v>
      </c>
      <c r="F134">
        <v>700</v>
      </c>
      <c r="G134" s="12">
        <v>3.85</v>
      </c>
      <c r="H134" s="12">
        <f t="shared" si="4"/>
        <v>2695</v>
      </c>
      <c r="I134" s="12">
        <f t="shared" si="5"/>
        <v>2695</v>
      </c>
    </row>
    <row r="135" spans="1:9" outlineLevel="1" x14ac:dyDescent="0.25">
      <c r="A135" t="s">
        <v>305</v>
      </c>
      <c r="B135" t="s">
        <v>103</v>
      </c>
      <c r="C135" t="s">
        <v>306</v>
      </c>
      <c r="D135" t="s">
        <v>0</v>
      </c>
      <c r="E135">
        <v>100</v>
      </c>
      <c r="G135" s="12">
        <v>3.85</v>
      </c>
      <c r="H135" s="12">
        <f t="shared" si="4"/>
        <v>385</v>
      </c>
      <c r="I135" s="12">
        <f t="shared" si="5"/>
        <v>0</v>
      </c>
    </row>
    <row r="136" spans="1:9" outlineLevel="1" x14ac:dyDescent="0.25">
      <c r="A136" t="s">
        <v>307</v>
      </c>
      <c r="B136" t="s">
        <v>103</v>
      </c>
      <c r="C136" t="s">
        <v>308</v>
      </c>
      <c r="D136" t="s">
        <v>0</v>
      </c>
      <c r="E136">
        <v>300</v>
      </c>
      <c r="F136">
        <v>300</v>
      </c>
      <c r="G136" s="12">
        <v>3.85</v>
      </c>
      <c r="H136" s="12">
        <f t="shared" si="4"/>
        <v>1155</v>
      </c>
      <c r="I136" s="12">
        <f t="shared" si="5"/>
        <v>1155</v>
      </c>
    </row>
    <row r="137" spans="1:9" outlineLevel="1" x14ac:dyDescent="0.25">
      <c r="A137" t="s">
        <v>309</v>
      </c>
      <c r="B137" t="s">
        <v>103</v>
      </c>
      <c r="C137" t="s">
        <v>302</v>
      </c>
      <c r="D137" t="s">
        <v>0</v>
      </c>
      <c r="E137">
        <v>50</v>
      </c>
      <c r="G137" s="12">
        <v>3.85</v>
      </c>
      <c r="H137" s="12">
        <f t="shared" si="4"/>
        <v>192.5</v>
      </c>
      <c r="I137" s="12">
        <f t="shared" si="5"/>
        <v>0</v>
      </c>
    </row>
    <row r="138" spans="1:9" outlineLevel="1" x14ac:dyDescent="0.25">
      <c r="A138" t="s">
        <v>310</v>
      </c>
      <c r="B138" t="s">
        <v>103</v>
      </c>
      <c r="C138" t="s">
        <v>304</v>
      </c>
      <c r="D138" t="s">
        <v>0</v>
      </c>
      <c r="E138">
        <v>50</v>
      </c>
      <c r="G138" s="12">
        <v>3.85</v>
      </c>
      <c r="H138" s="12">
        <f t="shared" si="4"/>
        <v>192.5</v>
      </c>
      <c r="I138" s="12">
        <f t="shared" si="5"/>
        <v>0</v>
      </c>
    </row>
    <row r="139" spans="1:9" outlineLevel="1" x14ac:dyDescent="0.25">
      <c r="A139" t="s">
        <v>311</v>
      </c>
      <c r="B139" t="s">
        <v>103</v>
      </c>
      <c r="C139" t="s">
        <v>306</v>
      </c>
      <c r="D139" t="s">
        <v>0</v>
      </c>
      <c r="E139">
        <v>50</v>
      </c>
      <c r="G139" s="12">
        <v>3.85</v>
      </c>
      <c r="H139" s="12">
        <f t="shared" si="4"/>
        <v>192.5</v>
      </c>
      <c r="I139" s="12">
        <f t="shared" si="5"/>
        <v>0</v>
      </c>
    </row>
    <row r="140" spans="1:9" outlineLevel="1" x14ac:dyDescent="0.25">
      <c r="A140" t="s">
        <v>312</v>
      </c>
      <c r="B140" t="s">
        <v>103</v>
      </c>
      <c r="C140" t="s">
        <v>308</v>
      </c>
      <c r="D140" t="s">
        <v>0</v>
      </c>
      <c r="E140">
        <v>200</v>
      </c>
      <c r="G140" s="12">
        <v>3.85</v>
      </c>
      <c r="H140" s="12">
        <f t="shared" si="4"/>
        <v>770</v>
      </c>
      <c r="I140" s="12">
        <f t="shared" si="5"/>
        <v>0</v>
      </c>
    </row>
    <row r="141" spans="1:9" outlineLevel="1" x14ac:dyDescent="0.25">
      <c r="A141" t="s">
        <v>313</v>
      </c>
      <c r="B141" t="s">
        <v>103</v>
      </c>
      <c r="C141" t="s">
        <v>314</v>
      </c>
      <c r="D141" t="s">
        <v>0</v>
      </c>
      <c r="E141">
        <v>50</v>
      </c>
      <c r="G141" s="12">
        <v>9.59</v>
      </c>
      <c r="H141" s="12">
        <f t="shared" si="4"/>
        <v>479.5</v>
      </c>
      <c r="I141" s="12">
        <f t="shared" si="5"/>
        <v>0</v>
      </c>
    </row>
    <row r="142" spans="1:9" outlineLevel="1" x14ac:dyDescent="0.25">
      <c r="A142" t="s">
        <v>315</v>
      </c>
      <c r="B142" t="s">
        <v>103</v>
      </c>
      <c r="C142" t="s">
        <v>316</v>
      </c>
      <c r="D142" t="s">
        <v>0</v>
      </c>
      <c r="E142">
        <v>300</v>
      </c>
      <c r="G142" s="12">
        <v>4.3499999999999996</v>
      </c>
      <c r="H142" s="12">
        <f t="shared" si="4"/>
        <v>1305</v>
      </c>
      <c r="I142" s="12">
        <f t="shared" si="5"/>
        <v>0</v>
      </c>
    </row>
    <row r="143" spans="1:9" outlineLevel="1" x14ac:dyDescent="0.25">
      <c r="A143" t="s">
        <v>317</v>
      </c>
      <c r="B143" t="s">
        <v>103</v>
      </c>
      <c r="C143" t="s">
        <v>318</v>
      </c>
      <c r="D143" t="s">
        <v>0</v>
      </c>
      <c r="E143">
        <v>800</v>
      </c>
      <c r="G143" s="12">
        <v>4.3499999999999996</v>
      </c>
      <c r="H143" s="12">
        <f t="shared" si="4"/>
        <v>3479.9999999999995</v>
      </c>
      <c r="I143" s="12">
        <f t="shared" si="5"/>
        <v>0</v>
      </c>
    </row>
    <row r="144" spans="1:9" outlineLevel="1" x14ac:dyDescent="0.25">
      <c r="A144" t="s">
        <v>319</v>
      </c>
      <c r="B144" t="s">
        <v>103</v>
      </c>
      <c r="C144" t="s">
        <v>320</v>
      </c>
      <c r="D144" t="s">
        <v>0</v>
      </c>
      <c r="E144">
        <v>100</v>
      </c>
      <c r="G144" s="12">
        <v>4.3499999999999996</v>
      </c>
      <c r="H144" s="12">
        <f t="shared" si="4"/>
        <v>434.99999999999994</v>
      </c>
      <c r="I144" s="12">
        <f t="shared" si="5"/>
        <v>0</v>
      </c>
    </row>
    <row r="145" spans="1:9" outlineLevel="1" x14ac:dyDescent="0.25">
      <c r="A145" t="s">
        <v>321</v>
      </c>
      <c r="B145" t="s">
        <v>103</v>
      </c>
      <c r="C145" t="s">
        <v>322</v>
      </c>
      <c r="D145" t="s">
        <v>0</v>
      </c>
      <c r="E145">
        <v>300</v>
      </c>
      <c r="G145" s="12">
        <v>4.3499999999999996</v>
      </c>
      <c r="H145" s="12">
        <f t="shared" si="4"/>
        <v>1305</v>
      </c>
      <c r="I145" s="12">
        <f t="shared" si="5"/>
        <v>0</v>
      </c>
    </row>
    <row r="146" spans="1:9" outlineLevel="1" x14ac:dyDescent="0.25">
      <c r="A146" t="s">
        <v>323</v>
      </c>
      <c r="B146" t="s">
        <v>103</v>
      </c>
      <c r="C146" t="s">
        <v>316</v>
      </c>
      <c r="D146" t="s">
        <v>0</v>
      </c>
      <c r="E146">
        <v>50</v>
      </c>
      <c r="G146" s="12">
        <v>4.3499999999999996</v>
      </c>
      <c r="H146" s="12">
        <f t="shared" si="4"/>
        <v>217.49999999999997</v>
      </c>
      <c r="I146" s="12">
        <f t="shared" si="5"/>
        <v>0</v>
      </c>
    </row>
    <row r="147" spans="1:9" outlineLevel="1" x14ac:dyDescent="0.25">
      <c r="A147" t="s">
        <v>324</v>
      </c>
      <c r="B147" t="s">
        <v>103</v>
      </c>
      <c r="C147" t="s">
        <v>318</v>
      </c>
      <c r="D147" t="s">
        <v>0</v>
      </c>
      <c r="E147">
        <v>50</v>
      </c>
      <c r="G147" s="12">
        <v>4.3499999999999996</v>
      </c>
      <c r="H147" s="12">
        <f t="shared" si="4"/>
        <v>217.49999999999997</v>
      </c>
      <c r="I147" s="12">
        <f t="shared" si="5"/>
        <v>0</v>
      </c>
    </row>
    <row r="148" spans="1:9" outlineLevel="1" x14ac:dyDescent="0.25">
      <c r="A148" t="s">
        <v>325</v>
      </c>
      <c r="B148" t="s">
        <v>103</v>
      </c>
      <c r="C148" t="s">
        <v>320</v>
      </c>
      <c r="D148" t="s">
        <v>0</v>
      </c>
      <c r="E148">
        <v>100</v>
      </c>
      <c r="G148" s="12">
        <v>4.3499999999999996</v>
      </c>
      <c r="H148" s="12">
        <f t="shared" si="4"/>
        <v>434.99999999999994</v>
      </c>
      <c r="I148" s="12">
        <f t="shared" si="5"/>
        <v>0</v>
      </c>
    </row>
    <row r="149" spans="1:9" outlineLevel="1" x14ac:dyDescent="0.25">
      <c r="A149" t="s">
        <v>326</v>
      </c>
      <c r="B149" t="s">
        <v>103</v>
      </c>
      <c r="C149" t="s">
        <v>322</v>
      </c>
      <c r="D149" t="s">
        <v>0</v>
      </c>
      <c r="E149">
        <v>200</v>
      </c>
      <c r="G149" s="12">
        <v>4.3499999999999996</v>
      </c>
      <c r="H149" s="12">
        <f t="shared" si="4"/>
        <v>869.99999999999989</v>
      </c>
      <c r="I149" s="12">
        <f t="shared" si="5"/>
        <v>0</v>
      </c>
    </row>
    <row r="150" spans="1:9" outlineLevel="1" x14ac:dyDescent="0.25">
      <c r="A150" t="s">
        <v>327</v>
      </c>
      <c r="B150" t="s">
        <v>103</v>
      </c>
      <c r="C150" t="s">
        <v>328</v>
      </c>
      <c r="D150" t="s">
        <v>0</v>
      </c>
      <c r="E150">
        <v>100</v>
      </c>
      <c r="G150" s="12">
        <v>8.4600000000000009</v>
      </c>
      <c r="H150" s="12">
        <f t="shared" si="4"/>
        <v>846.00000000000011</v>
      </c>
      <c r="I150" s="12">
        <f t="shared" si="5"/>
        <v>0</v>
      </c>
    </row>
    <row r="151" spans="1:9" outlineLevel="1" x14ac:dyDescent="0.25">
      <c r="A151" t="s">
        <v>329</v>
      </c>
      <c r="B151" t="s">
        <v>103</v>
      </c>
      <c r="C151" t="s">
        <v>330</v>
      </c>
      <c r="D151" t="s">
        <v>0</v>
      </c>
      <c r="E151">
        <v>900</v>
      </c>
      <c r="F151">
        <v>900</v>
      </c>
      <c r="G151" s="12">
        <v>4.2699999999999996</v>
      </c>
      <c r="H151" s="12">
        <f t="shared" si="4"/>
        <v>3842.9999999999995</v>
      </c>
      <c r="I151" s="12">
        <f t="shared" si="5"/>
        <v>3842.9999999999995</v>
      </c>
    </row>
    <row r="152" spans="1:9" outlineLevel="1" x14ac:dyDescent="0.25">
      <c r="A152" t="s">
        <v>331</v>
      </c>
      <c r="B152" t="s">
        <v>103</v>
      </c>
      <c r="C152" t="s">
        <v>332</v>
      </c>
      <c r="D152" t="s">
        <v>0</v>
      </c>
      <c r="E152">
        <v>500</v>
      </c>
      <c r="F152">
        <v>500</v>
      </c>
      <c r="G152" s="12">
        <v>4.2699999999999996</v>
      </c>
      <c r="H152" s="12">
        <f t="shared" si="4"/>
        <v>2135</v>
      </c>
      <c r="I152" s="12">
        <f t="shared" si="5"/>
        <v>2135</v>
      </c>
    </row>
    <row r="153" spans="1:9" outlineLevel="1" x14ac:dyDescent="0.25">
      <c r="A153" t="s">
        <v>333</v>
      </c>
      <c r="B153" t="s">
        <v>103</v>
      </c>
      <c r="C153" t="s">
        <v>334</v>
      </c>
      <c r="D153" t="s">
        <v>0</v>
      </c>
      <c r="E153">
        <v>900</v>
      </c>
      <c r="F153">
        <v>900</v>
      </c>
      <c r="G153" s="12">
        <v>4.2699999999999996</v>
      </c>
      <c r="H153" s="12">
        <f t="shared" ref="H153:H216" si="6">SUM(E153*G153)</f>
        <v>3842.9999999999995</v>
      </c>
      <c r="I153" s="12">
        <f t="shared" ref="I153:I216" si="7">G153*F153</f>
        <v>3842.9999999999995</v>
      </c>
    </row>
    <row r="154" spans="1:9" outlineLevel="1" x14ac:dyDescent="0.25">
      <c r="A154" t="s">
        <v>335</v>
      </c>
      <c r="B154" t="s">
        <v>103</v>
      </c>
      <c r="C154" t="s">
        <v>336</v>
      </c>
      <c r="D154" t="s">
        <v>0</v>
      </c>
      <c r="E154">
        <v>900</v>
      </c>
      <c r="F154">
        <v>900</v>
      </c>
      <c r="G154" s="12">
        <v>4.2699999999999996</v>
      </c>
      <c r="H154" s="12">
        <f t="shared" si="6"/>
        <v>3842.9999999999995</v>
      </c>
      <c r="I154" s="12">
        <f t="shared" si="7"/>
        <v>3842.9999999999995</v>
      </c>
    </row>
    <row r="155" spans="1:9" outlineLevel="1" x14ac:dyDescent="0.25">
      <c r="A155" t="s">
        <v>337</v>
      </c>
      <c r="B155" t="s">
        <v>103</v>
      </c>
      <c r="C155" t="s">
        <v>330</v>
      </c>
      <c r="D155" t="s">
        <v>0</v>
      </c>
      <c r="E155">
        <v>100</v>
      </c>
      <c r="F155">
        <v>100</v>
      </c>
      <c r="G155" s="12">
        <v>4.2699999999999996</v>
      </c>
      <c r="H155" s="12">
        <f t="shared" si="6"/>
        <v>426.99999999999994</v>
      </c>
      <c r="I155" s="12">
        <f t="shared" si="7"/>
        <v>426.99999999999994</v>
      </c>
    </row>
    <row r="156" spans="1:9" outlineLevel="1" x14ac:dyDescent="0.25">
      <c r="A156" t="s">
        <v>338</v>
      </c>
      <c r="B156" t="s">
        <v>103</v>
      </c>
      <c r="C156" t="s">
        <v>332</v>
      </c>
      <c r="D156" t="s">
        <v>0</v>
      </c>
      <c r="E156">
        <v>100</v>
      </c>
      <c r="F156">
        <v>100</v>
      </c>
      <c r="G156" s="12">
        <v>4.2699999999999996</v>
      </c>
      <c r="H156" s="12">
        <f t="shared" si="6"/>
        <v>426.99999999999994</v>
      </c>
      <c r="I156" s="12">
        <f t="shared" si="7"/>
        <v>426.99999999999994</v>
      </c>
    </row>
    <row r="157" spans="1:9" outlineLevel="1" x14ac:dyDescent="0.25">
      <c r="A157" t="s">
        <v>339</v>
      </c>
      <c r="B157" t="s">
        <v>103</v>
      </c>
      <c r="C157" t="s">
        <v>334</v>
      </c>
      <c r="D157" t="s">
        <v>0</v>
      </c>
      <c r="E157">
        <v>50</v>
      </c>
      <c r="G157" s="12">
        <v>4.2699999999999996</v>
      </c>
      <c r="H157" s="12">
        <f t="shared" si="6"/>
        <v>213.49999999999997</v>
      </c>
      <c r="I157" s="12">
        <f t="shared" si="7"/>
        <v>0</v>
      </c>
    </row>
    <row r="158" spans="1:9" outlineLevel="1" x14ac:dyDescent="0.25">
      <c r="A158" t="s">
        <v>340</v>
      </c>
      <c r="B158" t="s">
        <v>103</v>
      </c>
      <c r="C158" t="s">
        <v>336</v>
      </c>
      <c r="D158" t="s">
        <v>0</v>
      </c>
      <c r="E158">
        <v>100</v>
      </c>
      <c r="F158">
        <v>100</v>
      </c>
      <c r="G158" s="12">
        <v>4.2699999999999996</v>
      </c>
      <c r="H158" s="12">
        <f t="shared" si="6"/>
        <v>426.99999999999994</v>
      </c>
      <c r="I158" s="12">
        <f t="shared" si="7"/>
        <v>426.99999999999994</v>
      </c>
    </row>
    <row r="159" spans="1:9" outlineLevel="1" x14ac:dyDescent="0.25">
      <c r="A159" t="s">
        <v>341</v>
      </c>
      <c r="B159" t="s">
        <v>103</v>
      </c>
      <c r="C159" t="s">
        <v>342</v>
      </c>
      <c r="D159" t="s">
        <v>0</v>
      </c>
      <c r="E159">
        <v>50</v>
      </c>
      <c r="G159" s="12">
        <v>10.34</v>
      </c>
      <c r="H159" s="12">
        <f t="shared" si="6"/>
        <v>517</v>
      </c>
      <c r="I159" s="12">
        <f t="shared" si="7"/>
        <v>0</v>
      </c>
    </row>
    <row r="160" spans="1:9" outlineLevel="1" x14ac:dyDescent="0.25">
      <c r="A160" t="s">
        <v>343</v>
      </c>
      <c r="B160" t="s">
        <v>103</v>
      </c>
      <c r="C160" t="s">
        <v>344</v>
      </c>
      <c r="D160" t="s">
        <v>0</v>
      </c>
      <c r="E160">
        <v>100</v>
      </c>
      <c r="G160" s="12">
        <v>5.0999999999999996</v>
      </c>
      <c r="H160" s="12">
        <f t="shared" si="6"/>
        <v>509.99999999999994</v>
      </c>
      <c r="I160" s="12">
        <f t="shared" si="7"/>
        <v>0</v>
      </c>
    </row>
    <row r="161" spans="1:9" outlineLevel="1" x14ac:dyDescent="0.25">
      <c r="A161" t="s">
        <v>345</v>
      </c>
      <c r="B161" t="s">
        <v>103</v>
      </c>
      <c r="C161" t="s">
        <v>346</v>
      </c>
      <c r="D161" t="s">
        <v>0</v>
      </c>
      <c r="E161">
        <v>100</v>
      </c>
      <c r="G161" s="12">
        <v>5.0999999999999996</v>
      </c>
      <c r="H161" s="12">
        <f t="shared" si="6"/>
        <v>509.99999999999994</v>
      </c>
      <c r="I161" s="12">
        <f t="shared" si="7"/>
        <v>0</v>
      </c>
    </row>
    <row r="162" spans="1:9" outlineLevel="1" x14ac:dyDescent="0.25">
      <c r="A162" t="s">
        <v>347</v>
      </c>
      <c r="B162" t="s">
        <v>103</v>
      </c>
      <c r="C162" t="s">
        <v>348</v>
      </c>
      <c r="D162" t="s">
        <v>0</v>
      </c>
      <c r="E162">
        <v>250</v>
      </c>
      <c r="G162" s="12">
        <v>5.0999999999999996</v>
      </c>
      <c r="H162" s="12">
        <f t="shared" si="6"/>
        <v>1275</v>
      </c>
      <c r="I162" s="12">
        <f t="shared" si="7"/>
        <v>0</v>
      </c>
    </row>
    <row r="163" spans="1:9" outlineLevel="1" x14ac:dyDescent="0.25">
      <c r="A163" t="s">
        <v>349</v>
      </c>
      <c r="B163" t="s">
        <v>103</v>
      </c>
      <c r="C163" t="s">
        <v>350</v>
      </c>
      <c r="D163" t="s">
        <v>0</v>
      </c>
      <c r="E163">
        <v>150</v>
      </c>
      <c r="G163" s="12">
        <v>5.0999999999999996</v>
      </c>
      <c r="H163" s="12">
        <f t="shared" si="6"/>
        <v>765</v>
      </c>
      <c r="I163" s="12">
        <f t="shared" si="7"/>
        <v>0</v>
      </c>
    </row>
    <row r="164" spans="1:9" outlineLevel="1" x14ac:dyDescent="0.25">
      <c r="A164" t="s">
        <v>351</v>
      </c>
      <c r="B164" t="s">
        <v>103</v>
      </c>
      <c r="C164" t="s">
        <v>344</v>
      </c>
      <c r="D164" t="s">
        <v>0</v>
      </c>
      <c r="E164">
        <v>50</v>
      </c>
      <c r="G164" s="12">
        <v>5.0999999999999996</v>
      </c>
      <c r="H164" s="12">
        <f t="shared" si="6"/>
        <v>254.99999999999997</v>
      </c>
      <c r="I164" s="12">
        <f t="shared" si="7"/>
        <v>0</v>
      </c>
    </row>
    <row r="165" spans="1:9" outlineLevel="1" x14ac:dyDescent="0.25">
      <c r="A165" t="s">
        <v>352</v>
      </c>
      <c r="B165" t="s">
        <v>103</v>
      </c>
      <c r="C165" t="s">
        <v>346</v>
      </c>
      <c r="D165" t="s">
        <v>0</v>
      </c>
      <c r="E165">
        <v>50</v>
      </c>
      <c r="G165" s="12">
        <v>5.0999999999999996</v>
      </c>
      <c r="H165" s="12">
        <f t="shared" si="6"/>
        <v>254.99999999999997</v>
      </c>
      <c r="I165" s="12">
        <f t="shared" si="7"/>
        <v>0</v>
      </c>
    </row>
    <row r="166" spans="1:9" outlineLevel="1" x14ac:dyDescent="0.25">
      <c r="A166" t="s">
        <v>353</v>
      </c>
      <c r="B166" t="s">
        <v>103</v>
      </c>
      <c r="C166" t="s">
        <v>348</v>
      </c>
      <c r="D166" t="s">
        <v>0</v>
      </c>
      <c r="E166">
        <v>50</v>
      </c>
      <c r="G166" s="12">
        <v>5.0999999999999996</v>
      </c>
      <c r="H166" s="12">
        <f t="shared" si="6"/>
        <v>254.99999999999997</v>
      </c>
      <c r="I166" s="12">
        <f t="shared" si="7"/>
        <v>0</v>
      </c>
    </row>
    <row r="167" spans="1:9" outlineLevel="1" x14ac:dyDescent="0.25">
      <c r="A167" t="s">
        <v>354</v>
      </c>
      <c r="B167" t="s">
        <v>103</v>
      </c>
      <c r="C167" t="s">
        <v>350</v>
      </c>
      <c r="D167" t="s">
        <v>0</v>
      </c>
      <c r="E167">
        <v>50</v>
      </c>
      <c r="G167" s="12">
        <v>5.0999999999999996</v>
      </c>
      <c r="H167" s="12">
        <f t="shared" si="6"/>
        <v>254.99999999999997</v>
      </c>
      <c r="I167" s="12">
        <f t="shared" si="7"/>
        <v>0</v>
      </c>
    </row>
    <row r="168" spans="1:9" outlineLevel="1" x14ac:dyDescent="0.25">
      <c r="A168" t="s">
        <v>355</v>
      </c>
      <c r="B168" t="s">
        <v>103</v>
      </c>
      <c r="C168" t="s">
        <v>356</v>
      </c>
      <c r="D168" t="s">
        <v>0</v>
      </c>
      <c r="E168">
        <v>5</v>
      </c>
      <c r="G168" s="12">
        <v>10.86</v>
      </c>
      <c r="H168" s="12">
        <f t="shared" si="6"/>
        <v>54.3</v>
      </c>
      <c r="I168" s="12">
        <f t="shared" si="7"/>
        <v>0</v>
      </c>
    </row>
    <row r="169" spans="1:9" outlineLevel="1" x14ac:dyDescent="0.25">
      <c r="A169" t="s">
        <v>357</v>
      </c>
      <c r="B169" t="s">
        <v>103</v>
      </c>
      <c r="C169" t="s">
        <v>358</v>
      </c>
      <c r="D169" t="s">
        <v>0</v>
      </c>
      <c r="E169">
        <v>10</v>
      </c>
      <c r="G169" s="12">
        <v>6.67</v>
      </c>
      <c r="H169" s="12">
        <f t="shared" si="6"/>
        <v>66.7</v>
      </c>
      <c r="I169" s="12">
        <f t="shared" si="7"/>
        <v>0</v>
      </c>
    </row>
    <row r="170" spans="1:9" outlineLevel="1" x14ac:dyDescent="0.25">
      <c r="A170" t="s">
        <v>359</v>
      </c>
      <c r="B170" t="s">
        <v>103</v>
      </c>
      <c r="C170" t="s">
        <v>360</v>
      </c>
      <c r="D170" t="s">
        <v>0</v>
      </c>
      <c r="E170">
        <v>40</v>
      </c>
      <c r="G170" s="12">
        <v>6.67</v>
      </c>
      <c r="H170" s="12">
        <f t="shared" si="6"/>
        <v>266.8</v>
      </c>
      <c r="I170" s="12">
        <f t="shared" si="7"/>
        <v>0</v>
      </c>
    </row>
    <row r="171" spans="1:9" outlineLevel="1" x14ac:dyDescent="0.25">
      <c r="A171" t="s">
        <v>361</v>
      </c>
      <c r="B171" t="s">
        <v>103</v>
      </c>
      <c r="C171" t="s">
        <v>362</v>
      </c>
      <c r="D171" t="s">
        <v>0</v>
      </c>
      <c r="E171">
        <v>20</v>
      </c>
      <c r="G171" s="12">
        <v>6.67</v>
      </c>
      <c r="H171" s="12">
        <f t="shared" si="6"/>
        <v>133.4</v>
      </c>
      <c r="I171" s="12">
        <f t="shared" si="7"/>
        <v>0</v>
      </c>
    </row>
    <row r="172" spans="1:9" outlineLevel="1" x14ac:dyDescent="0.25">
      <c r="A172" t="s">
        <v>363</v>
      </c>
      <c r="B172" t="s">
        <v>103</v>
      </c>
      <c r="C172" t="s">
        <v>364</v>
      </c>
      <c r="D172" t="s">
        <v>0</v>
      </c>
      <c r="E172">
        <v>5</v>
      </c>
      <c r="G172" s="12">
        <v>6.97</v>
      </c>
      <c r="H172" s="12">
        <f t="shared" si="6"/>
        <v>34.85</v>
      </c>
      <c r="I172" s="12">
        <f t="shared" si="7"/>
        <v>0</v>
      </c>
    </row>
    <row r="173" spans="1:9" outlineLevel="1" x14ac:dyDescent="0.25">
      <c r="A173" t="s">
        <v>365</v>
      </c>
      <c r="B173" t="s">
        <v>103</v>
      </c>
      <c r="C173" t="s">
        <v>366</v>
      </c>
      <c r="D173" t="s">
        <v>0</v>
      </c>
      <c r="E173">
        <v>10</v>
      </c>
      <c r="G173" s="12">
        <v>20.72</v>
      </c>
      <c r="H173" s="12">
        <f t="shared" si="6"/>
        <v>207.2</v>
      </c>
      <c r="I173" s="12">
        <f t="shared" si="7"/>
        <v>0</v>
      </c>
    </row>
    <row r="174" spans="1:9" outlineLevel="1" x14ac:dyDescent="0.25">
      <c r="A174" t="s">
        <v>367</v>
      </c>
      <c r="B174" t="s">
        <v>103</v>
      </c>
      <c r="C174" t="s">
        <v>368</v>
      </c>
      <c r="D174" t="s">
        <v>0</v>
      </c>
      <c r="E174">
        <v>100</v>
      </c>
      <c r="G174" s="12">
        <v>20.72</v>
      </c>
      <c r="H174" s="12">
        <f t="shared" si="6"/>
        <v>2072</v>
      </c>
      <c r="I174" s="12">
        <f t="shared" si="7"/>
        <v>0</v>
      </c>
    </row>
    <row r="175" spans="1:9" outlineLevel="1" x14ac:dyDescent="0.25">
      <c r="A175" t="s">
        <v>369</v>
      </c>
      <c r="B175" t="s">
        <v>103</v>
      </c>
      <c r="C175" t="s">
        <v>370</v>
      </c>
      <c r="D175" t="s">
        <v>0</v>
      </c>
      <c r="E175">
        <v>100</v>
      </c>
      <c r="G175" s="12">
        <v>20.72</v>
      </c>
      <c r="H175" s="12">
        <f t="shared" si="6"/>
        <v>2072</v>
      </c>
      <c r="I175" s="12">
        <f t="shared" si="7"/>
        <v>0</v>
      </c>
    </row>
    <row r="176" spans="1:9" outlineLevel="1" x14ac:dyDescent="0.25">
      <c r="A176" t="s">
        <v>371</v>
      </c>
      <c r="B176" t="s">
        <v>103</v>
      </c>
      <c r="C176" t="s">
        <v>372</v>
      </c>
      <c r="D176" t="s">
        <v>0</v>
      </c>
      <c r="E176">
        <v>50</v>
      </c>
      <c r="G176" s="12">
        <v>21.72</v>
      </c>
      <c r="H176" s="12">
        <f t="shared" si="6"/>
        <v>1086</v>
      </c>
      <c r="I176" s="12">
        <f t="shared" si="7"/>
        <v>0</v>
      </c>
    </row>
    <row r="177" spans="1:9" outlineLevel="1" x14ac:dyDescent="0.25">
      <c r="A177" t="s">
        <v>373</v>
      </c>
      <c r="B177" t="s">
        <v>103</v>
      </c>
      <c r="C177" t="s">
        <v>374</v>
      </c>
      <c r="D177" t="s">
        <v>0</v>
      </c>
      <c r="E177">
        <v>50</v>
      </c>
      <c r="G177" s="12">
        <v>3.01</v>
      </c>
      <c r="H177" s="12">
        <f t="shared" si="6"/>
        <v>150.5</v>
      </c>
      <c r="I177" s="12">
        <f t="shared" si="7"/>
        <v>0</v>
      </c>
    </row>
    <row r="178" spans="1:9" outlineLevel="1" x14ac:dyDescent="0.25">
      <c r="A178" t="s">
        <v>375</v>
      </c>
      <c r="B178" t="s">
        <v>103</v>
      </c>
      <c r="C178" t="s">
        <v>376</v>
      </c>
      <c r="D178" t="s">
        <v>0</v>
      </c>
      <c r="E178">
        <v>100</v>
      </c>
      <c r="G178" s="12">
        <v>3.01</v>
      </c>
      <c r="H178" s="12">
        <f t="shared" si="6"/>
        <v>301</v>
      </c>
      <c r="I178" s="12">
        <f t="shared" si="7"/>
        <v>0</v>
      </c>
    </row>
    <row r="179" spans="1:9" outlineLevel="1" x14ac:dyDescent="0.25">
      <c r="A179" t="s">
        <v>377</v>
      </c>
      <c r="B179" t="s">
        <v>103</v>
      </c>
      <c r="C179" t="s">
        <v>378</v>
      </c>
      <c r="D179" t="s">
        <v>0</v>
      </c>
      <c r="E179">
        <v>50</v>
      </c>
      <c r="G179" s="12">
        <v>3.01</v>
      </c>
      <c r="H179" s="12">
        <f t="shared" si="6"/>
        <v>150.5</v>
      </c>
      <c r="I179" s="12">
        <f t="shared" si="7"/>
        <v>0</v>
      </c>
    </row>
    <row r="180" spans="1:9" outlineLevel="1" x14ac:dyDescent="0.25">
      <c r="A180" t="s">
        <v>379</v>
      </c>
      <c r="B180" t="s">
        <v>103</v>
      </c>
      <c r="C180" t="s">
        <v>380</v>
      </c>
      <c r="D180" t="s">
        <v>0</v>
      </c>
      <c r="E180">
        <v>50</v>
      </c>
      <c r="G180" s="12">
        <v>3.01</v>
      </c>
      <c r="H180" s="12">
        <f t="shared" si="6"/>
        <v>150.5</v>
      </c>
      <c r="I180" s="12">
        <f t="shared" si="7"/>
        <v>0</v>
      </c>
    </row>
    <row r="181" spans="1:9" outlineLevel="1" x14ac:dyDescent="0.25">
      <c r="A181" t="s">
        <v>381</v>
      </c>
      <c r="B181" t="s">
        <v>103</v>
      </c>
      <c r="C181" t="s">
        <v>382</v>
      </c>
      <c r="D181" t="s">
        <v>0</v>
      </c>
      <c r="E181">
        <v>20</v>
      </c>
      <c r="G181" s="12">
        <v>3.4</v>
      </c>
      <c r="H181" s="12">
        <f t="shared" si="6"/>
        <v>68</v>
      </c>
      <c r="I181" s="12">
        <f t="shared" si="7"/>
        <v>0</v>
      </c>
    </row>
    <row r="182" spans="1:9" outlineLevel="1" x14ac:dyDescent="0.25">
      <c r="A182" t="s">
        <v>383</v>
      </c>
      <c r="B182" t="s">
        <v>103</v>
      </c>
      <c r="C182" t="s">
        <v>384</v>
      </c>
      <c r="D182" t="s">
        <v>0</v>
      </c>
      <c r="E182">
        <v>100</v>
      </c>
      <c r="G182" s="12">
        <v>3.4</v>
      </c>
      <c r="H182" s="12">
        <f t="shared" si="6"/>
        <v>340</v>
      </c>
      <c r="I182" s="12">
        <f t="shared" si="7"/>
        <v>0</v>
      </c>
    </row>
    <row r="183" spans="1:9" outlineLevel="1" x14ac:dyDescent="0.25">
      <c r="A183" t="s">
        <v>385</v>
      </c>
      <c r="B183" t="s">
        <v>103</v>
      </c>
      <c r="C183" t="s">
        <v>386</v>
      </c>
      <c r="D183" t="s">
        <v>0</v>
      </c>
      <c r="E183">
        <v>30</v>
      </c>
      <c r="G183" s="12">
        <v>3.4</v>
      </c>
      <c r="H183" s="12">
        <f t="shared" si="6"/>
        <v>102</v>
      </c>
      <c r="I183" s="12">
        <f t="shared" si="7"/>
        <v>0</v>
      </c>
    </row>
    <row r="184" spans="1:9" outlineLevel="1" x14ac:dyDescent="0.25">
      <c r="A184" t="s">
        <v>387</v>
      </c>
      <c r="B184" t="s">
        <v>103</v>
      </c>
      <c r="C184" t="s">
        <v>388</v>
      </c>
      <c r="D184" t="s">
        <v>0</v>
      </c>
      <c r="E184">
        <v>25</v>
      </c>
      <c r="G184" s="12">
        <v>3.4</v>
      </c>
      <c r="H184" s="12">
        <f t="shared" si="6"/>
        <v>85</v>
      </c>
      <c r="I184" s="12">
        <f t="shared" si="7"/>
        <v>0</v>
      </c>
    </row>
    <row r="185" spans="1:9" outlineLevel="1" x14ac:dyDescent="0.25">
      <c r="A185" t="s">
        <v>389</v>
      </c>
      <c r="B185" t="s">
        <v>103</v>
      </c>
      <c r="C185" t="s">
        <v>390</v>
      </c>
      <c r="D185" t="s">
        <v>0</v>
      </c>
      <c r="E185">
        <v>20</v>
      </c>
      <c r="G185" s="12">
        <v>3.62</v>
      </c>
      <c r="H185" s="12">
        <f t="shared" si="6"/>
        <v>72.400000000000006</v>
      </c>
      <c r="I185" s="12">
        <f t="shared" si="7"/>
        <v>0</v>
      </c>
    </row>
    <row r="186" spans="1:9" outlineLevel="1" x14ac:dyDescent="0.25">
      <c r="A186" t="s">
        <v>391</v>
      </c>
      <c r="B186" t="s">
        <v>103</v>
      </c>
      <c r="C186" t="s">
        <v>392</v>
      </c>
      <c r="D186" t="s">
        <v>0</v>
      </c>
      <c r="E186">
        <v>50</v>
      </c>
      <c r="G186" s="12">
        <v>3.62</v>
      </c>
      <c r="H186" s="12">
        <f t="shared" si="6"/>
        <v>181</v>
      </c>
      <c r="I186" s="12">
        <f t="shared" si="7"/>
        <v>0</v>
      </c>
    </row>
    <row r="187" spans="1:9" outlineLevel="1" x14ac:dyDescent="0.25">
      <c r="A187" t="s">
        <v>393</v>
      </c>
      <c r="B187" t="s">
        <v>103</v>
      </c>
      <c r="C187" t="s">
        <v>394</v>
      </c>
      <c r="D187" t="s">
        <v>0</v>
      </c>
      <c r="E187">
        <v>30</v>
      </c>
      <c r="G187" s="12">
        <v>3.62</v>
      </c>
      <c r="H187" s="12">
        <f t="shared" si="6"/>
        <v>108.60000000000001</v>
      </c>
      <c r="I187" s="12">
        <f t="shared" si="7"/>
        <v>0</v>
      </c>
    </row>
    <row r="188" spans="1:9" outlineLevel="1" x14ac:dyDescent="0.25">
      <c r="A188" t="s">
        <v>395</v>
      </c>
      <c r="B188" t="s">
        <v>103</v>
      </c>
      <c r="C188" t="s">
        <v>396</v>
      </c>
      <c r="D188" t="s">
        <v>0</v>
      </c>
      <c r="E188">
        <v>25</v>
      </c>
      <c r="G188" s="12">
        <v>3.62</v>
      </c>
      <c r="H188" s="12">
        <f t="shared" si="6"/>
        <v>90.5</v>
      </c>
      <c r="I188" s="12">
        <f t="shared" si="7"/>
        <v>0</v>
      </c>
    </row>
    <row r="189" spans="1:9" outlineLevel="1" x14ac:dyDescent="0.25">
      <c r="A189" t="s">
        <v>397</v>
      </c>
      <c r="B189" t="s">
        <v>103</v>
      </c>
      <c r="C189" t="s">
        <v>398</v>
      </c>
      <c r="D189" t="s">
        <v>0</v>
      </c>
      <c r="E189">
        <v>20</v>
      </c>
      <c r="G189" s="12">
        <v>5.34</v>
      </c>
      <c r="H189" s="12">
        <f t="shared" si="6"/>
        <v>106.8</v>
      </c>
      <c r="I189" s="12">
        <f t="shared" si="7"/>
        <v>0</v>
      </c>
    </row>
    <row r="190" spans="1:9" outlineLevel="1" x14ac:dyDescent="0.25">
      <c r="A190" t="s">
        <v>399</v>
      </c>
      <c r="B190" t="s">
        <v>103</v>
      </c>
      <c r="C190" t="s">
        <v>400</v>
      </c>
      <c r="D190" t="s">
        <v>0</v>
      </c>
      <c r="E190">
        <v>60</v>
      </c>
      <c r="G190" s="12">
        <v>5.34</v>
      </c>
      <c r="H190" s="12">
        <f t="shared" si="6"/>
        <v>320.39999999999998</v>
      </c>
      <c r="I190" s="12">
        <f t="shared" si="7"/>
        <v>0</v>
      </c>
    </row>
    <row r="191" spans="1:9" outlineLevel="1" x14ac:dyDescent="0.25">
      <c r="A191" t="s">
        <v>401</v>
      </c>
      <c r="B191" t="s">
        <v>103</v>
      </c>
      <c r="C191" t="s">
        <v>402</v>
      </c>
      <c r="D191" t="s">
        <v>0</v>
      </c>
      <c r="E191">
        <v>40</v>
      </c>
      <c r="G191" s="12">
        <v>5.34</v>
      </c>
      <c r="H191" s="12">
        <f t="shared" si="6"/>
        <v>213.6</v>
      </c>
      <c r="I191" s="12">
        <f t="shared" si="7"/>
        <v>0</v>
      </c>
    </row>
    <row r="192" spans="1:9" outlineLevel="1" x14ac:dyDescent="0.25">
      <c r="A192" t="s">
        <v>403</v>
      </c>
      <c r="B192" t="s">
        <v>103</v>
      </c>
      <c r="C192" t="s">
        <v>404</v>
      </c>
      <c r="D192" t="s">
        <v>0</v>
      </c>
      <c r="E192">
        <v>30</v>
      </c>
      <c r="G192" s="12">
        <v>5.34</v>
      </c>
      <c r="H192" s="12">
        <f t="shared" si="6"/>
        <v>160.19999999999999</v>
      </c>
      <c r="I192" s="12">
        <f t="shared" si="7"/>
        <v>0</v>
      </c>
    </row>
    <row r="193" spans="1:9" outlineLevel="1" x14ac:dyDescent="0.25">
      <c r="A193" t="s">
        <v>405</v>
      </c>
      <c r="B193" t="s">
        <v>103</v>
      </c>
      <c r="C193" t="s">
        <v>406</v>
      </c>
      <c r="D193" t="s">
        <v>0</v>
      </c>
      <c r="E193">
        <v>100</v>
      </c>
      <c r="G193" s="12">
        <v>4.4000000000000004</v>
      </c>
      <c r="H193" s="12">
        <f t="shared" si="6"/>
        <v>440.00000000000006</v>
      </c>
      <c r="I193" s="12">
        <f t="shared" si="7"/>
        <v>0</v>
      </c>
    </row>
    <row r="194" spans="1:9" outlineLevel="1" x14ac:dyDescent="0.25">
      <c r="A194" t="s">
        <v>407</v>
      </c>
      <c r="B194" t="s">
        <v>103</v>
      </c>
      <c r="C194" t="s">
        <v>408</v>
      </c>
      <c r="D194" t="s">
        <v>0</v>
      </c>
      <c r="E194">
        <v>40</v>
      </c>
      <c r="G194" s="12">
        <v>4.4000000000000004</v>
      </c>
      <c r="H194" s="12">
        <f t="shared" si="6"/>
        <v>176</v>
      </c>
      <c r="I194" s="12">
        <f t="shared" si="7"/>
        <v>0</v>
      </c>
    </row>
    <row r="195" spans="1:9" outlineLevel="1" x14ac:dyDescent="0.25">
      <c r="A195" t="s">
        <v>409</v>
      </c>
      <c r="B195" t="s">
        <v>103</v>
      </c>
      <c r="C195" t="s">
        <v>410</v>
      </c>
      <c r="D195" t="s">
        <v>0</v>
      </c>
      <c r="E195">
        <v>60</v>
      </c>
      <c r="G195" s="12">
        <v>4.5999999999999996</v>
      </c>
      <c r="H195" s="12">
        <f t="shared" si="6"/>
        <v>276</v>
      </c>
      <c r="I195" s="12">
        <f t="shared" si="7"/>
        <v>0</v>
      </c>
    </row>
    <row r="196" spans="1:9" outlineLevel="1" x14ac:dyDescent="0.25">
      <c r="A196" t="s">
        <v>411</v>
      </c>
      <c r="B196" t="s">
        <v>103</v>
      </c>
      <c r="C196" t="s">
        <v>406</v>
      </c>
      <c r="D196" t="s">
        <v>0</v>
      </c>
      <c r="E196">
        <v>50</v>
      </c>
      <c r="G196" s="12">
        <v>4.4000000000000004</v>
      </c>
      <c r="H196" s="12">
        <f t="shared" si="6"/>
        <v>220.00000000000003</v>
      </c>
      <c r="I196" s="12">
        <f t="shared" si="7"/>
        <v>0</v>
      </c>
    </row>
    <row r="197" spans="1:9" outlineLevel="1" x14ac:dyDescent="0.25">
      <c r="A197" t="s">
        <v>412</v>
      </c>
      <c r="B197" t="s">
        <v>103</v>
      </c>
      <c r="C197" t="s">
        <v>408</v>
      </c>
      <c r="D197" t="s">
        <v>0</v>
      </c>
      <c r="E197">
        <v>50</v>
      </c>
      <c r="G197" s="12">
        <v>4.4000000000000004</v>
      </c>
      <c r="H197" s="12">
        <f t="shared" si="6"/>
        <v>220.00000000000003</v>
      </c>
      <c r="I197" s="12">
        <f t="shared" si="7"/>
        <v>0</v>
      </c>
    </row>
    <row r="198" spans="1:9" outlineLevel="1" x14ac:dyDescent="0.25">
      <c r="A198" t="s">
        <v>413</v>
      </c>
      <c r="B198" t="s">
        <v>103</v>
      </c>
      <c r="C198" t="s">
        <v>410</v>
      </c>
      <c r="D198" t="s">
        <v>0</v>
      </c>
      <c r="E198">
        <v>30</v>
      </c>
      <c r="G198" s="12">
        <v>4.5999999999999996</v>
      </c>
      <c r="H198" s="12">
        <f t="shared" si="6"/>
        <v>138</v>
      </c>
      <c r="I198" s="12">
        <f t="shared" si="7"/>
        <v>0</v>
      </c>
    </row>
    <row r="199" spans="1:9" outlineLevel="1" x14ac:dyDescent="0.25">
      <c r="A199" t="s">
        <v>414</v>
      </c>
      <c r="B199" t="s">
        <v>103</v>
      </c>
      <c r="C199" t="s">
        <v>415</v>
      </c>
      <c r="D199" t="s">
        <v>6</v>
      </c>
      <c r="E199">
        <v>16</v>
      </c>
      <c r="G199" s="12">
        <v>45</v>
      </c>
      <c r="H199" s="12">
        <f t="shared" si="6"/>
        <v>720</v>
      </c>
      <c r="I199" s="12">
        <f t="shared" si="7"/>
        <v>0</v>
      </c>
    </row>
    <row r="200" spans="1:9" outlineLevel="1" x14ac:dyDescent="0.25">
      <c r="A200" t="s">
        <v>416</v>
      </c>
      <c r="B200" t="s">
        <v>103</v>
      </c>
      <c r="C200" t="s">
        <v>417</v>
      </c>
      <c r="D200" t="s">
        <v>6</v>
      </c>
      <c r="E200">
        <v>8</v>
      </c>
      <c r="G200" s="12">
        <v>70</v>
      </c>
      <c r="H200" s="12">
        <f t="shared" si="6"/>
        <v>560</v>
      </c>
      <c r="I200" s="12">
        <f t="shared" si="7"/>
        <v>0</v>
      </c>
    </row>
    <row r="201" spans="1:9" outlineLevel="1" x14ac:dyDescent="0.25">
      <c r="A201" t="s">
        <v>418</v>
      </c>
      <c r="B201" t="s">
        <v>103</v>
      </c>
      <c r="C201" t="s">
        <v>419</v>
      </c>
      <c r="D201" t="s">
        <v>6</v>
      </c>
      <c r="E201">
        <v>4</v>
      </c>
      <c r="G201" s="12">
        <v>90</v>
      </c>
      <c r="H201" s="12">
        <f t="shared" si="6"/>
        <v>360</v>
      </c>
      <c r="I201" s="12">
        <f t="shared" si="7"/>
        <v>0</v>
      </c>
    </row>
    <row r="202" spans="1:9" outlineLevel="1" x14ac:dyDescent="0.25">
      <c r="A202" s="8" t="s">
        <v>420</v>
      </c>
      <c r="B202" s="8"/>
      <c r="C202" s="8" t="s">
        <v>421</v>
      </c>
      <c r="D202" s="8"/>
      <c r="E202" s="8"/>
      <c r="F202" s="8"/>
      <c r="G202" s="14"/>
      <c r="H202" s="14"/>
      <c r="I202" s="14"/>
    </row>
    <row r="203" spans="1:9" outlineLevel="1" x14ac:dyDescent="0.25">
      <c r="A203" t="s">
        <v>422</v>
      </c>
      <c r="B203" t="s">
        <v>103</v>
      </c>
      <c r="C203" t="s">
        <v>423</v>
      </c>
      <c r="D203" t="s">
        <v>6</v>
      </c>
      <c r="E203">
        <v>20</v>
      </c>
      <c r="G203" s="12">
        <v>15.85</v>
      </c>
      <c r="H203" s="12">
        <f t="shared" si="6"/>
        <v>317</v>
      </c>
      <c r="I203" s="12">
        <f t="shared" si="7"/>
        <v>0</v>
      </c>
    </row>
    <row r="204" spans="1:9" outlineLevel="1" x14ac:dyDescent="0.25">
      <c r="A204" t="s">
        <v>424</v>
      </c>
      <c r="B204" t="s">
        <v>103</v>
      </c>
      <c r="C204" t="s">
        <v>425</v>
      </c>
      <c r="D204" t="s">
        <v>6</v>
      </c>
      <c r="E204">
        <v>20</v>
      </c>
      <c r="G204" s="12">
        <v>18.86</v>
      </c>
      <c r="H204" s="12">
        <f t="shared" si="6"/>
        <v>377.2</v>
      </c>
      <c r="I204" s="12">
        <f t="shared" si="7"/>
        <v>0</v>
      </c>
    </row>
    <row r="205" spans="1:9" outlineLevel="1" x14ac:dyDescent="0.25">
      <c r="A205" t="s">
        <v>426</v>
      </c>
      <c r="B205" t="s">
        <v>103</v>
      </c>
      <c r="C205" t="s">
        <v>427</v>
      </c>
      <c r="D205" t="s">
        <v>6</v>
      </c>
      <c r="E205">
        <v>80</v>
      </c>
      <c r="G205" s="12">
        <v>16.239999999999998</v>
      </c>
      <c r="H205" s="12">
        <f t="shared" si="6"/>
        <v>1299.1999999999998</v>
      </c>
      <c r="I205" s="12">
        <f t="shared" si="7"/>
        <v>0</v>
      </c>
    </row>
    <row r="206" spans="1:9" outlineLevel="1" x14ac:dyDescent="0.25">
      <c r="A206" t="s">
        <v>428</v>
      </c>
      <c r="B206" t="s">
        <v>103</v>
      </c>
      <c r="C206" t="s">
        <v>429</v>
      </c>
      <c r="D206" t="s">
        <v>6</v>
      </c>
      <c r="E206">
        <v>24</v>
      </c>
      <c r="G206" s="12">
        <v>31.53</v>
      </c>
      <c r="H206" s="12">
        <f t="shared" si="6"/>
        <v>756.72</v>
      </c>
      <c r="I206" s="12">
        <f t="shared" si="7"/>
        <v>0</v>
      </c>
    </row>
    <row r="207" spans="1:9" outlineLevel="1" x14ac:dyDescent="0.25">
      <c r="A207" t="s">
        <v>430</v>
      </c>
      <c r="B207" t="s">
        <v>103</v>
      </c>
      <c r="C207" t="s">
        <v>431</v>
      </c>
      <c r="D207" t="s">
        <v>6</v>
      </c>
      <c r="E207">
        <v>560</v>
      </c>
      <c r="G207" s="12">
        <v>9.82</v>
      </c>
      <c r="H207" s="12">
        <f t="shared" si="6"/>
        <v>5499.2</v>
      </c>
      <c r="I207" s="12">
        <f t="shared" si="7"/>
        <v>0</v>
      </c>
    </row>
    <row r="208" spans="1:9" outlineLevel="1" x14ac:dyDescent="0.25">
      <c r="A208" t="s">
        <v>432</v>
      </c>
      <c r="B208" t="s">
        <v>103</v>
      </c>
      <c r="C208" t="s">
        <v>433</v>
      </c>
      <c r="D208" t="s">
        <v>6</v>
      </c>
      <c r="E208">
        <v>165</v>
      </c>
      <c r="G208" s="12">
        <v>21.09</v>
      </c>
      <c r="H208" s="12">
        <f t="shared" si="6"/>
        <v>3479.85</v>
      </c>
      <c r="I208" s="12">
        <f t="shared" si="7"/>
        <v>0</v>
      </c>
    </row>
    <row r="209" spans="1:9" outlineLevel="1" x14ac:dyDescent="0.25">
      <c r="A209" t="s">
        <v>434</v>
      </c>
      <c r="B209" t="s">
        <v>103</v>
      </c>
      <c r="C209" t="s">
        <v>435</v>
      </c>
      <c r="D209" t="s">
        <v>6</v>
      </c>
      <c r="E209">
        <v>48</v>
      </c>
      <c r="G209" s="12">
        <v>8.76</v>
      </c>
      <c r="H209" s="12">
        <f t="shared" si="6"/>
        <v>420.48</v>
      </c>
      <c r="I209" s="12">
        <f t="shared" si="7"/>
        <v>0</v>
      </c>
    </row>
    <row r="210" spans="1:9" outlineLevel="1" x14ac:dyDescent="0.25">
      <c r="A210" t="s">
        <v>436</v>
      </c>
      <c r="B210" t="s">
        <v>103</v>
      </c>
      <c r="C210" t="s">
        <v>437</v>
      </c>
      <c r="D210" t="s">
        <v>6</v>
      </c>
      <c r="E210">
        <v>13</v>
      </c>
      <c r="G210" s="12">
        <v>19.690000000000001</v>
      </c>
      <c r="H210" s="12">
        <f t="shared" si="6"/>
        <v>255.97000000000003</v>
      </c>
      <c r="I210" s="12">
        <f t="shared" si="7"/>
        <v>0</v>
      </c>
    </row>
    <row r="211" spans="1:9" outlineLevel="1" x14ac:dyDescent="0.25">
      <c r="A211" t="s">
        <v>438</v>
      </c>
      <c r="B211" t="s">
        <v>103</v>
      </c>
      <c r="C211" t="s">
        <v>439</v>
      </c>
      <c r="D211" t="s">
        <v>6</v>
      </c>
      <c r="E211">
        <v>8</v>
      </c>
      <c r="G211" s="12">
        <v>30.54</v>
      </c>
      <c r="H211" s="12">
        <f t="shared" si="6"/>
        <v>244.32</v>
      </c>
      <c r="I211" s="12">
        <f t="shared" si="7"/>
        <v>0</v>
      </c>
    </row>
    <row r="212" spans="1:9" outlineLevel="1" x14ac:dyDescent="0.25">
      <c r="A212" t="s">
        <v>440</v>
      </c>
      <c r="B212" t="s">
        <v>103</v>
      </c>
      <c r="C212" t="s">
        <v>441</v>
      </c>
      <c r="D212" t="s">
        <v>6</v>
      </c>
      <c r="E212">
        <v>125</v>
      </c>
      <c r="G212" s="12">
        <v>20.43</v>
      </c>
      <c r="H212" s="12">
        <f t="shared" si="6"/>
        <v>2553.75</v>
      </c>
      <c r="I212" s="12">
        <f t="shared" si="7"/>
        <v>0</v>
      </c>
    </row>
    <row r="213" spans="1:9" outlineLevel="1" x14ac:dyDescent="0.25">
      <c r="A213" t="s">
        <v>442</v>
      </c>
      <c r="B213" t="s">
        <v>103</v>
      </c>
      <c r="C213" t="s">
        <v>443</v>
      </c>
      <c r="D213" t="s">
        <v>6</v>
      </c>
      <c r="E213">
        <v>55</v>
      </c>
      <c r="G213" s="12">
        <v>30.63</v>
      </c>
      <c r="H213" s="12">
        <f t="shared" si="6"/>
        <v>1684.6499999999999</v>
      </c>
      <c r="I213" s="12">
        <f t="shared" si="7"/>
        <v>0</v>
      </c>
    </row>
    <row r="214" spans="1:9" outlineLevel="1" x14ac:dyDescent="0.25">
      <c r="A214" t="s">
        <v>444</v>
      </c>
      <c r="B214" t="s">
        <v>103</v>
      </c>
      <c r="C214" t="s">
        <v>445</v>
      </c>
      <c r="D214" t="s">
        <v>6</v>
      </c>
      <c r="E214">
        <v>125</v>
      </c>
      <c r="G214" s="12">
        <v>4.53</v>
      </c>
      <c r="H214" s="12">
        <f t="shared" si="6"/>
        <v>566.25</v>
      </c>
      <c r="I214" s="12">
        <f t="shared" si="7"/>
        <v>0</v>
      </c>
    </row>
    <row r="215" spans="1:9" outlineLevel="1" x14ac:dyDescent="0.25">
      <c r="A215" t="s">
        <v>446</v>
      </c>
      <c r="B215" t="s">
        <v>103</v>
      </c>
      <c r="C215" t="s">
        <v>447</v>
      </c>
      <c r="D215" t="s">
        <v>6</v>
      </c>
      <c r="E215">
        <v>1</v>
      </c>
      <c r="G215" s="12">
        <v>5.4</v>
      </c>
      <c r="H215" s="12">
        <f t="shared" si="6"/>
        <v>5.4</v>
      </c>
      <c r="I215" s="12">
        <f t="shared" si="7"/>
        <v>0</v>
      </c>
    </row>
    <row r="216" spans="1:9" outlineLevel="1" x14ac:dyDescent="0.25">
      <c r="A216" t="s">
        <v>448</v>
      </c>
      <c r="B216" t="s">
        <v>103</v>
      </c>
      <c r="C216" t="s">
        <v>449</v>
      </c>
      <c r="D216" t="s">
        <v>6</v>
      </c>
      <c r="E216">
        <v>22</v>
      </c>
      <c r="G216" s="12">
        <v>6.75</v>
      </c>
      <c r="H216" s="12">
        <f t="shared" si="6"/>
        <v>148.5</v>
      </c>
      <c r="I216" s="12">
        <f t="shared" si="7"/>
        <v>0</v>
      </c>
    </row>
    <row r="217" spans="1:9" outlineLevel="1" x14ac:dyDescent="0.25">
      <c r="A217" t="s">
        <v>450</v>
      </c>
      <c r="B217" t="s">
        <v>103</v>
      </c>
      <c r="C217" t="s">
        <v>451</v>
      </c>
      <c r="D217" t="s">
        <v>6</v>
      </c>
      <c r="E217">
        <v>55</v>
      </c>
      <c r="G217" s="12">
        <v>8.5500000000000007</v>
      </c>
      <c r="H217" s="12">
        <f t="shared" ref="H217:H234" si="8">SUM(E217*G217)</f>
        <v>470.25000000000006</v>
      </c>
      <c r="I217" s="12">
        <f t="shared" ref="I217:I234" si="9">G217*F217</f>
        <v>0</v>
      </c>
    </row>
    <row r="218" spans="1:9" outlineLevel="1" x14ac:dyDescent="0.25">
      <c r="A218" t="s">
        <v>452</v>
      </c>
      <c r="B218" t="s">
        <v>103</v>
      </c>
      <c r="C218" t="s">
        <v>453</v>
      </c>
      <c r="D218" t="s">
        <v>6</v>
      </c>
      <c r="E218">
        <v>450</v>
      </c>
      <c r="G218" s="12">
        <v>19.23</v>
      </c>
      <c r="H218" s="12">
        <f t="shared" si="8"/>
        <v>8653.5</v>
      </c>
      <c r="I218" s="12">
        <f t="shared" si="9"/>
        <v>0</v>
      </c>
    </row>
    <row r="219" spans="1:9" outlineLevel="1" x14ac:dyDescent="0.25">
      <c r="A219" t="s">
        <v>454</v>
      </c>
      <c r="B219" t="s">
        <v>103</v>
      </c>
      <c r="C219" t="s">
        <v>455</v>
      </c>
      <c r="D219" t="s">
        <v>6</v>
      </c>
      <c r="E219">
        <v>28</v>
      </c>
      <c r="G219" s="12">
        <v>79.319999999999993</v>
      </c>
      <c r="H219" s="12">
        <f t="shared" si="8"/>
        <v>2220.96</v>
      </c>
      <c r="I219" s="12">
        <f t="shared" si="9"/>
        <v>0</v>
      </c>
    </row>
    <row r="220" spans="1:9" outlineLevel="1" x14ac:dyDescent="0.25">
      <c r="A220" t="s">
        <v>456</v>
      </c>
      <c r="B220" t="s">
        <v>103</v>
      </c>
      <c r="C220" t="s">
        <v>457</v>
      </c>
      <c r="D220" t="s">
        <v>6</v>
      </c>
      <c r="E220">
        <v>90</v>
      </c>
      <c r="G220" s="12">
        <v>7.49</v>
      </c>
      <c r="H220" s="12">
        <f t="shared" si="8"/>
        <v>674.1</v>
      </c>
      <c r="I220" s="12">
        <f t="shared" si="9"/>
        <v>0</v>
      </c>
    </row>
    <row r="221" spans="1:9" outlineLevel="1" x14ac:dyDescent="0.25">
      <c r="A221" t="s">
        <v>458</v>
      </c>
      <c r="B221" t="s">
        <v>103</v>
      </c>
      <c r="C221" t="s">
        <v>459</v>
      </c>
      <c r="D221" t="s">
        <v>6</v>
      </c>
      <c r="E221">
        <v>180</v>
      </c>
      <c r="G221" s="12">
        <v>11.59</v>
      </c>
      <c r="H221" s="12">
        <f t="shared" si="8"/>
        <v>2086.1999999999998</v>
      </c>
      <c r="I221" s="12">
        <f t="shared" si="9"/>
        <v>0</v>
      </c>
    </row>
    <row r="222" spans="1:9" outlineLevel="1" x14ac:dyDescent="0.25">
      <c r="A222" t="s">
        <v>460</v>
      </c>
      <c r="B222" t="s">
        <v>103</v>
      </c>
      <c r="C222" t="s">
        <v>461</v>
      </c>
      <c r="D222" t="s">
        <v>6</v>
      </c>
      <c r="E222">
        <v>60</v>
      </c>
      <c r="G222" s="12">
        <v>16.45</v>
      </c>
      <c r="H222" s="12">
        <f t="shared" si="8"/>
        <v>987</v>
      </c>
      <c r="I222" s="12">
        <f t="shared" si="9"/>
        <v>0</v>
      </c>
    </row>
    <row r="223" spans="1:9" outlineLevel="1" x14ac:dyDescent="0.25">
      <c r="A223" t="s">
        <v>462</v>
      </c>
      <c r="B223" t="s">
        <v>103</v>
      </c>
      <c r="C223" t="s">
        <v>463</v>
      </c>
      <c r="D223" t="s">
        <v>6</v>
      </c>
      <c r="E223">
        <v>15</v>
      </c>
      <c r="G223" s="12">
        <v>24.12</v>
      </c>
      <c r="H223" s="12">
        <f t="shared" si="8"/>
        <v>361.8</v>
      </c>
      <c r="I223" s="12">
        <f t="shared" si="9"/>
        <v>0</v>
      </c>
    </row>
    <row r="224" spans="1:9" outlineLevel="1" x14ac:dyDescent="0.25">
      <c r="A224" t="s">
        <v>464</v>
      </c>
      <c r="B224" t="s">
        <v>103</v>
      </c>
      <c r="C224" t="s">
        <v>465</v>
      </c>
      <c r="D224" t="s">
        <v>6</v>
      </c>
      <c r="E224">
        <v>20</v>
      </c>
      <c r="G224" s="12">
        <v>55.7</v>
      </c>
      <c r="H224" s="12">
        <f t="shared" si="8"/>
        <v>1114</v>
      </c>
      <c r="I224" s="12">
        <f t="shared" si="9"/>
        <v>0</v>
      </c>
    </row>
    <row r="225" spans="1:9" outlineLevel="1" x14ac:dyDescent="0.25">
      <c r="A225" t="s">
        <v>466</v>
      </c>
      <c r="B225" t="s">
        <v>103</v>
      </c>
      <c r="C225" t="s">
        <v>467</v>
      </c>
      <c r="D225" t="s">
        <v>6</v>
      </c>
      <c r="E225">
        <v>17</v>
      </c>
      <c r="G225" s="12">
        <v>135.94</v>
      </c>
      <c r="H225" s="12">
        <f t="shared" si="8"/>
        <v>2310.98</v>
      </c>
      <c r="I225" s="12">
        <f t="shared" si="9"/>
        <v>0</v>
      </c>
    </row>
    <row r="226" spans="1:9" outlineLevel="1" x14ac:dyDescent="0.25">
      <c r="A226" t="s">
        <v>468</v>
      </c>
      <c r="B226" t="s">
        <v>103</v>
      </c>
      <c r="C226" t="s">
        <v>469</v>
      </c>
      <c r="D226" t="s">
        <v>6</v>
      </c>
      <c r="E226">
        <v>14</v>
      </c>
      <c r="G226" s="12">
        <v>81.44</v>
      </c>
      <c r="H226" s="12">
        <f t="shared" si="8"/>
        <v>1140.1599999999999</v>
      </c>
      <c r="I226" s="12">
        <f t="shared" si="9"/>
        <v>0</v>
      </c>
    </row>
    <row r="227" spans="1:9" outlineLevel="1" x14ac:dyDescent="0.25">
      <c r="A227" s="8"/>
      <c r="B227" s="8"/>
      <c r="C227" s="8" t="s">
        <v>470</v>
      </c>
      <c r="D227" s="8"/>
      <c r="E227" s="8"/>
      <c r="F227" s="8"/>
      <c r="G227" s="14"/>
      <c r="H227" s="14"/>
      <c r="I227" s="14"/>
    </row>
    <row r="228" spans="1:9" outlineLevel="1" x14ac:dyDescent="0.25">
      <c r="A228" s="8"/>
      <c r="B228" s="8"/>
      <c r="C228" s="8" t="s">
        <v>470</v>
      </c>
      <c r="D228" s="8"/>
      <c r="E228" s="8"/>
      <c r="F228" s="8"/>
      <c r="G228" s="14"/>
      <c r="H228" s="14"/>
      <c r="I228" s="14"/>
    </row>
    <row r="229" spans="1:9" outlineLevel="1" x14ac:dyDescent="0.25">
      <c r="A229" t="s">
        <v>27</v>
      </c>
      <c r="B229" t="s">
        <v>103</v>
      </c>
      <c r="C229" t="s">
        <v>28</v>
      </c>
      <c r="D229" t="s">
        <v>6</v>
      </c>
      <c r="E229">
        <v>280</v>
      </c>
      <c r="F229">
        <v>184</v>
      </c>
      <c r="G229" s="12">
        <v>26.7</v>
      </c>
      <c r="H229" s="12">
        <f t="shared" si="8"/>
        <v>7476</v>
      </c>
      <c r="I229" s="12">
        <f t="shared" si="9"/>
        <v>4912.8</v>
      </c>
    </row>
    <row r="230" spans="1:9" outlineLevel="1" x14ac:dyDescent="0.25">
      <c r="A230" t="s">
        <v>471</v>
      </c>
      <c r="B230" t="s">
        <v>103</v>
      </c>
      <c r="C230" t="s">
        <v>472</v>
      </c>
      <c r="D230" t="s">
        <v>6</v>
      </c>
      <c r="E230">
        <v>42</v>
      </c>
      <c r="G230" s="12">
        <v>33.76</v>
      </c>
      <c r="H230" s="12">
        <f t="shared" si="8"/>
        <v>1417.9199999999998</v>
      </c>
      <c r="I230" s="12">
        <f t="shared" si="9"/>
        <v>0</v>
      </c>
    </row>
    <row r="231" spans="1:9" outlineLevel="1" x14ac:dyDescent="0.25">
      <c r="A231" t="s">
        <v>473</v>
      </c>
      <c r="B231" t="s">
        <v>103</v>
      </c>
      <c r="C231" t="s">
        <v>474</v>
      </c>
      <c r="D231" t="s">
        <v>6</v>
      </c>
      <c r="E231">
        <v>8</v>
      </c>
      <c r="G231" s="12">
        <v>35.619999999999997</v>
      </c>
      <c r="H231" s="12">
        <f t="shared" si="8"/>
        <v>284.95999999999998</v>
      </c>
      <c r="I231" s="12">
        <f t="shared" si="9"/>
        <v>0</v>
      </c>
    </row>
    <row r="232" spans="1:9" outlineLevel="1" x14ac:dyDescent="0.25">
      <c r="A232" t="s">
        <v>475</v>
      </c>
      <c r="B232" t="s">
        <v>103</v>
      </c>
      <c r="C232" t="s">
        <v>476</v>
      </c>
      <c r="D232" t="s">
        <v>6</v>
      </c>
      <c r="E232">
        <v>2</v>
      </c>
      <c r="G232" s="12">
        <v>111.47</v>
      </c>
      <c r="H232" s="12">
        <f t="shared" si="8"/>
        <v>222.94</v>
      </c>
      <c r="I232" s="12">
        <f t="shared" si="9"/>
        <v>0</v>
      </c>
    </row>
    <row r="233" spans="1:9" outlineLevel="1" x14ac:dyDescent="0.25">
      <c r="A233" t="s">
        <v>477</v>
      </c>
      <c r="B233" t="s">
        <v>103</v>
      </c>
      <c r="C233" t="s">
        <v>478</v>
      </c>
      <c r="D233" t="s">
        <v>6</v>
      </c>
      <c r="E233">
        <v>8</v>
      </c>
      <c r="G233" s="12">
        <v>31.98</v>
      </c>
      <c r="H233" s="12">
        <f t="shared" si="8"/>
        <v>255.84</v>
      </c>
      <c r="I233" s="12">
        <f t="shared" si="9"/>
        <v>0</v>
      </c>
    </row>
    <row r="234" spans="1:9" outlineLevel="1" x14ac:dyDescent="0.25">
      <c r="A234" t="s">
        <v>479</v>
      </c>
      <c r="B234" t="s">
        <v>103</v>
      </c>
      <c r="C234" t="s">
        <v>480</v>
      </c>
      <c r="D234" t="s">
        <v>6</v>
      </c>
      <c r="E234">
        <v>7</v>
      </c>
      <c r="G234" s="12">
        <v>49.42</v>
      </c>
      <c r="H234" s="12">
        <f t="shared" si="8"/>
        <v>345.94</v>
      </c>
      <c r="I234" s="12">
        <f t="shared" si="9"/>
        <v>0</v>
      </c>
    </row>
    <row r="235" spans="1:9" x14ac:dyDescent="0.25">
      <c r="A235" s="9" t="s">
        <v>481</v>
      </c>
      <c r="B235" s="9"/>
      <c r="C235" s="9" t="s">
        <v>482</v>
      </c>
      <c r="D235" s="9"/>
      <c r="E235" s="9"/>
      <c r="F235" s="9"/>
      <c r="G235" s="13"/>
      <c r="H235" s="13">
        <f>SUM(H236:H264)</f>
        <v>150332.02000000002</v>
      </c>
      <c r="I235" s="13">
        <f>SUM(I236:I264)</f>
        <v>0</v>
      </c>
    </row>
    <row r="236" spans="1:9" outlineLevel="1" x14ac:dyDescent="0.25">
      <c r="A236" s="8" t="s">
        <v>483</v>
      </c>
      <c r="B236" s="8"/>
      <c r="C236" s="8" t="s">
        <v>484</v>
      </c>
      <c r="D236" s="8"/>
      <c r="E236" s="8"/>
      <c r="F236" s="8"/>
      <c r="G236" s="14"/>
      <c r="H236" s="14"/>
      <c r="I236" s="14"/>
    </row>
    <row r="237" spans="1:9" outlineLevel="1" x14ac:dyDescent="0.25">
      <c r="A237" t="s">
        <v>485</v>
      </c>
      <c r="B237" t="s">
        <v>103</v>
      </c>
      <c r="C237" t="s">
        <v>486</v>
      </c>
      <c r="D237" t="s">
        <v>6</v>
      </c>
      <c r="E237">
        <v>103</v>
      </c>
      <c r="G237" s="12">
        <v>89.06</v>
      </c>
      <c r="H237" s="12">
        <f>SUM(E237*G237)</f>
        <v>9173.18</v>
      </c>
      <c r="I237" s="12">
        <f>G237*F237</f>
        <v>0</v>
      </c>
    </row>
    <row r="238" spans="1:9" outlineLevel="1" x14ac:dyDescent="0.25">
      <c r="A238" t="s">
        <v>487</v>
      </c>
      <c r="B238" t="s">
        <v>103</v>
      </c>
      <c r="C238" t="s">
        <v>488</v>
      </c>
      <c r="D238" t="s">
        <v>6</v>
      </c>
      <c r="E238">
        <v>185</v>
      </c>
      <c r="G238" s="12">
        <v>126.18</v>
      </c>
      <c r="H238" s="12">
        <f t="shared" ref="H238:H264" si="10">SUM(E238*G238)</f>
        <v>23343.300000000003</v>
      </c>
      <c r="I238" s="12">
        <f t="shared" ref="I238:I264" si="11">G238*F238</f>
        <v>0</v>
      </c>
    </row>
    <row r="239" spans="1:9" outlineLevel="1" x14ac:dyDescent="0.25">
      <c r="A239" t="s">
        <v>489</v>
      </c>
      <c r="B239" t="s">
        <v>103</v>
      </c>
      <c r="C239" t="s">
        <v>488</v>
      </c>
      <c r="D239" t="s">
        <v>6</v>
      </c>
      <c r="E239">
        <v>8</v>
      </c>
      <c r="G239" s="12">
        <v>136.06</v>
      </c>
      <c r="H239" s="12">
        <f t="shared" si="10"/>
        <v>1088.48</v>
      </c>
      <c r="I239" s="12">
        <f t="shared" si="11"/>
        <v>0</v>
      </c>
    </row>
    <row r="240" spans="1:9" outlineLevel="1" x14ac:dyDescent="0.25">
      <c r="A240" t="s">
        <v>490</v>
      </c>
      <c r="B240" t="s">
        <v>103</v>
      </c>
      <c r="C240" t="s">
        <v>491</v>
      </c>
      <c r="D240" t="s">
        <v>6</v>
      </c>
      <c r="E240">
        <v>234</v>
      </c>
      <c r="G240" s="12">
        <v>105.84</v>
      </c>
      <c r="H240" s="12">
        <f t="shared" si="10"/>
        <v>24766.560000000001</v>
      </c>
      <c r="I240" s="12">
        <f t="shared" si="11"/>
        <v>0</v>
      </c>
    </row>
    <row r="241" spans="1:9" outlineLevel="1" x14ac:dyDescent="0.25">
      <c r="A241" t="s">
        <v>492</v>
      </c>
      <c r="B241" t="s">
        <v>103</v>
      </c>
      <c r="C241" t="s">
        <v>493</v>
      </c>
      <c r="D241" t="s">
        <v>6</v>
      </c>
      <c r="E241">
        <v>6</v>
      </c>
      <c r="G241" s="12">
        <v>445.71</v>
      </c>
      <c r="H241" s="12">
        <f t="shared" si="10"/>
        <v>2674.2599999999998</v>
      </c>
      <c r="I241" s="12">
        <f t="shared" si="11"/>
        <v>0</v>
      </c>
    </row>
    <row r="242" spans="1:9" outlineLevel="1" x14ac:dyDescent="0.25">
      <c r="A242" t="s">
        <v>494</v>
      </c>
      <c r="B242" t="s">
        <v>103</v>
      </c>
      <c r="C242" t="s">
        <v>495</v>
      </c>
      <c r="D242" t="s">
        <v>6</v>
      </c>
      <c r="E242">
        <v>12</v>
      </c>
      <c r="G242" s="12">
        <v>2872.58</v>
      </c>
      <c r="H242" s="12">
        <f t="shared" si="10"/>
        <v>34470.959999999999</v>
      </c>
      <c r="I242" s="12">
        <f t="shared" si="11"/>
        <v>0</v>
      </c>
    </row>
    <row r="243" spans="1:9" outlineLevel="1" x14ac:dyDescent="0.25">
      <c r="A243" t="s">
        <v>496</v>
      </c>
      <c r="B243" t="s">
        <v>103</v>
      </c>
      <c r="C243" t="s">
        <v>493</v>
      </c>
      <c r="D243" t="s">
        <v>6</v>
      </c>
      <c r="E243">
        <v>16</v>
      </c>
      <c r="G243" s="12">
        <v>214.17</v>
      </c>
      <c r="H243" s="12">
        <f t="shared" si="10"/>
        <v>3426.72</v>
      </c>
      <c r="I243" s="12">
        <f t="shared" si="11"/>
        <v>0</v>
      </c>
    </row>
    <row r="244" spans="1:9" outlineLevel="1" x14ac:dyDescent="0.25">
      <c r="A244" t="s">
        <v>497</v>
      </c>
      <c r="B244" t="s">
        <v>103</v>
      </c>
      <c r="C244" t="s">
        <v>498</v>
      </c>
      <c r="D244" t="s">
        <v>6</v>
      </c>
      <c r="E244">
        <v>18</v>
      </c>
      <c r="G244" s="12">
        <v>76.38</v>
      </c>
      <c r="H244" s="12">
        <f t="shared" si="10"/>
        <v>1374.84</v>
      </c>
      <c r="I244" s="12">
        <f t="shared" si="11"/>
        <v>0</v>
      </c>
    </row>
    <row r="245" spans="1:9" outlineLevel="1" x14ac:dyDescent="0.25">
      <c r="A245" t="s">
        <v>499</v>
      </c>
      <c r="B245" t="s">
        <v>103</v>
      </c>
      <c r="C245" t="s">
        <v>500</v>
      </c>
      <c r="D245" t="s">
        <v>6</v>
      </c>
      <c r="E245">
        <v>2</v>
      </c>
      <c r="G245" s="12">
        <v>1535.3</v>
      </c>
      <c r="H245" s="12">
        <f t="shared" si="10"/>
        <v>3070.6</v>
      </c>
      <c r="I245" s="12">
        <f t="shared" si="11"/>
        <v>0</v>
      </c>
    </row>
    <row r="246" spans="1:9" outlineLevel="1" x14ac:dyDescent="0.25">
      <c r="A246" t="s">
        <v>501</v>
      </c>
      <c r="B246" t="s">
        <v>103</v>
      </c>
      <c r="C246" t="s">
        <v>500</v>
      </c>
      <c r="D246" t="s">
        <v>6</v>
      </c>
      <c r="E246">
        <v>2</v>
      </c>
      <c r="G246" s="12">
        <v>1804.75</v>
      </c>
      <c r="H246" s="12">
        <f t="shared" si="10"/>
        <v>3609.5</v>
      </c>
      <c r="I246" s="12">
        <f t="shared" si="11"/>
        <v>0</v>
      </c>
    </row>
    <row r="247" spans="1:9" outlineLevel="1" x14ac:dyDescent="0.25">
      <c r="A247" t="s">
        <v>502</v>
      </c>
      <c r="B247" t="s">
        <v>103</v>
      </c>
      <c r="C247" t="s">
        <v>500</v>
      </c>
      <c r="D247" t="s">
        <v>6</v>
      </c>
      <c r="E247">
        <v>2</v>
      </c>
      <c r="G247" s="12">
        <v>1535.3</v>
      </c>
      <c r="H247" s="12">
        <f t="shared" si="10"/>
        <v>3070.6</v>
      </c>
      <c r="I247" s="12">
        <f t="shared" si="11"/>
        <v>0</v>
      </c>
    </row>
    <row r="248" spans="1:9" outlineLevel="1" x14ac:dyDescent="0.25">
      <c r="A248" s="8" t="s">
        <v>503</v>
      </c>
      <c r="B248" s="8"/>
      <c r="C248" s="8" t="s">
        <v>504</v>
      </c>
      <c r="D248" s="8"/>
      <c r="E248" s="8"/>
      <c r="F248" s="8"/>
      <c r="G248" s="14"/>
      <c r="H248" s="14"/>
      <c r="I248" s="14"/>
    </row>
    <row r="249" spans="1:9" outlineLevel="1" x14ac:dyDescent="0.25">
      <c r="A249" s="8"/>
      <c r="B249" s="8"/>
      <c r="C249" s="8" t="s">
        <v>505</v>
      </c>
      <c r="D249" s="8"/>
      <c r="E249" s="8"/>
      <c r="F249" s="8"/>
      <c r="G249" s="14"/>
      <c r="H249" s="14"/>
      <c r="I249" s="14"/>
    </row>
    <row r="250" spans="1:9" outlineLevel="1" x14ac:dyDescent="0.25">
      <c r="A250" s="8"/>
      <c r="B250" s="8"/>
      <c r="C250" s="8" t="s">
        <v>506</v>
      </c>
      <c r="D250" s="8"/>
      <c r="E250" s="8"/>
      <c r="F250" s="8"/>
      <c r="G250" s="14"/>
      <c r="H250" s="14"/>
      <c r="I250" s="14"/>
    </row>
    <row r="251" spans="1:9" outlineLevel="1" x14ac:dyDescent="0.25">
      <c r="A251" t="s">
        <v>507</v>
      </c>
      <c r="B251" t="s">
        <v>103</v>
      </c>
      <c r="C251" t="s">
        <v>508</v>
      </c>
      <c r="D251" t="s">
        <v>6</v>
      </c>
      <c r="E251">
        <v>1</v>
      </c>
      <c r="G251" s="12">
        <v>8263.59</v>
      </c>
      <c r="H251" s="12">
        <f t="shared" si="10"/>
        <v>8263.59</v>
      </c>
      <c r="I251" s="12">
        <f t="shared" si="11"/>
        <v>0</v>
      </c>
    </row>
    <row r="252" spans="1:9" outlineLevel="1" x14ac:dyDescent="0.25">
      <c r="A252" t="s">
        <v>509</v>
      </c>
      <c r="B252" t="s">
        <v>103</v>
      </c>
      <c r="C252" t="s">
        <v>510</v>
      </c>
      <c r="D252" t="s">
        <v>6</v>
      </c>
      <c r="E252">
        <v>6</v>
      </c>
      <c r="G252" s="12">
        <v>218.52</v>
      </c>
      <c r="H252" s="12">
        <f t="shared" si="10"/>
        <v>1311.1200000000001</v>
      </c>
      <c r="I252" s="12">
        <f t="shared" si="11"/>
        <v>0</v>
      </c>
    </row>
    <row r="253" spans="1:9" outlineLevel="1" x14ac:dyDescent="0.25">
      <c r="A253" t="s">
        <v>511</v>
      </c>
      <c r="B253" t="s">
        <v>103</v>
      </c>
      <c r="C253" t="s">
        <v>512</v>
      </c>
      <c r="D253" t="s">
        <v>6</v>
      </c>
      <c r="E253">
        <v>1</v>
      </c>
      <c r="G253" s="12">
        <v>147.83000000000001</v>
      </c>
      <c r="H253" s="12">
        <f t="shared" si="10"/>
        <v>147.83000000000001</v>
      </c>
      <c r="I253" s="12">
        <f t="shared" si="11"/>
        <v>0</v>
      </c>
    </row>
    <row r="254" spans="1:9" outlineLevel="1" x14ac:dyDescent="0.25">
      <c r="A254" t="s">
        <v>513</v>
      </c>
      <c r="B254" t="s">
        <v>103</v>
      </c>
      <c r="C254" t="s">
        <v>514</v>
      </c>
      <c r="D254" t="s">
        <v>6</v>
      </c>
      <c r="E254">
        <v>80</v>
      </c>
      <c r="G254" s="12">
        <v>160.54</v>
      </c>
      <c r="H254" s="12">
        <f t="shared" si="10"/>
        <v>12843.199999999999</v>
      </c>
      <c r="I254" s="12">
        <f t="shared" si="11"/>
        <v>0</v>
      </c>
    </row>
    <row r="255" spans="1:9" outlineLevel="1" x14ac:dyDescent="0.25">
      <c r="A255" t="s">
        <v>515</v>
      </c>
      <c r="B255" t="s">
        <v>103</v>
      </c>
      <c r="C255" t="s">
        <v>516</v>
      </c>
      <c r="D255" t="s">
        <v>6</v>
      </c>
      <c r="E255">
        <v>14</v>
      </c>
      <c r="G255" s="12">
        <v>202.73</v>
      </c>
      <c r="H255" s="12">
        <f t="shared" si="10"/>
        <v>2838.22</v>
      </c>
      <c r="I255" s="12">
        <f t="shared" si="11"/>
        <v>0</v>
      </c>
    </row>
    <row r="256" spans="1:9" outlineLevel="1" x14ac:dyDescent="0.25">
      <c r="A256" t="s">
        <v>517</v>
      </c>
      <c r="B256" t="s">
        <v>103</v>
      </c>
      <c r="C256" t="s">
        <v>518</v>
      </c>
      <c r="D256" t="s">
        <v>6</v>
      </c>
      <c r="E256">
        <v>38</v>
      </c>
      <c r="G256" s="12">
        <v>167.88</v>
      </c>
      <c r="H256" s="12">
        <f t="shared" si="10"/>
        <v>6379.44</v>
      </c>
      <c r="I256" s="12">
        <f t="shared" si="11"/>
        <v>0</v>
      </c>
    </row>
    <row r="257" spans="1:9" outlineLevel="1" x14ac:dyDescent="0.25">
      <c r="A257" t="s">
        <v>519</v>
      </c>
      <c r="B257" t="s">
        <v>103</v>
      </c>
      <c r="C257" t="s">
        <v>520</v>
      </c>
      <c r="D257" t="s">
        <v>6</v>
      </c>
      <c r="E257">
        <v>12</v>
      </c>
      <c r="G257" s="12">
        <v>157.91999999999999</v>
      </c>
      <c r="H257" s="12">
        <f t="shared" si="10"/>
        <v>1895.04</v>
      </c>
      <c r="I257" s="12">
        <f t="shared" si="11"/>
        <v>0</v>
      </c>
    </row>
    <row r="258" spans="1:9" outlineLevel="1" x14ac:dyDescent="0.25">
      <c r="A258" t="s">
        <v>521</v>
      </c>
      <c r="B258" t="s">
        <v>103</v>
      </c>
      <c r="C258" t="s">
        <v>522</v>
      </c>
      <c r="D258" t="s">
        <v>6</v>
      </c>
      <c r="E258">
        <v>10</v>
      </c>
      <c r="G258" s="12">
        <v>283.60000000000002</v>
      </c>
      <c r="H258" s="12">
        <f t="shared" si="10"/>
        <v>2836</v>
      </c>
      <c r="I258" s="12">
        <f t="shared" si="11"/>
        <v>0</v>
      </c>
    </row>
    <row r="259" spans="1:9" outlineLevel="1" x14ac:dyDescent="0.25">
      <c r="A259" t="s">
        <v>523</v>
      </c>
      <c r="B259" t="s">
        <v>103</v>
      </c>
      <c r="C259" t="s">
        <v>524</v>
      </c>
      <c r="D259" t="s">
        <v>6</v>
      </c>
      <c r="E259">
        <v>7</v>
      </c>
      <c r="G259" s="12">
        <v>283.60000000000002</v>
      </c>
      <c r="H259" s="12">
        <f t="shared" si="10"/>
        <v>1985.2000000000003</v>
      </c>
      <c r="I259" s="12">
        <f t="shared" si="11"/>
        <v>0</v>
      </c>
    </row>
    <row r="260" spans="1:9" outlineLevel="1" x14ac:dyDescent="0.25">
      <c r="A260" t="s">
        <v>525</v>
      </c>
      <c r="B260" t="s">
        <v>103</v>
      </c>
      <c r="C260" t="s">
        <v>526</v>
      </c>
      <c r="D260" t="s">
        <v>6</v>
      </c>
      <c r="E260">
        <v>1</v>
      </c>
      <c r="G260" s="12">
        <v>347.83</v>
      </c>
      <c r="H260" s="12">
        <f t="shared" si="10"/>
        <v>347.83</v>
      </c>
      <c r="I260" s="12">
        <f t="shared" si="11"/>
        <v>0</v>
      </c>
    </row>
    <row r="261" spans="1:9" outlineLevel="1" x14ac:dyDescent="0.25">
      <c r="A261" t="s">
        <v>527</v>
      </c>
      <c r="B261" t="s">
        <v>103</v>
      </c>
      <c r="C261" t="s">
        <v>528</v>
      </c>
      <c r="D261" t="s">
        <v>6</v>
      </c>
      <c r="E261">
        <v>33</v>
      </c>
      <c r="G261" s="12">
        <v>6.93</v>
      </c>
      <c r="H261" s="12">
        <f t="shared" si="10"/>
        <v>228.69</v>
      </c>
      <c r="I261" s="12">
        <f t="shared" si="11"/>
        <v>0</v>
      </c>
    </row>
    <row r="262" spans="1:9" outlineLevel="1" x14ac:dyDescent="0.25">
      <c r="A262" t="s">
        <v>529</v>
      </c>
      <c r="B262" t="s">
        <v>103</v>
      </c>
      <c r="C262" t="s">
        <v>530</v>
      </c>
      <c r="D262" t="s">
        <v>6</v>
      </c>
      <c r="E262">
        <v>1</v>
      </c>
      <c r="G262" s="12">
        <v>177.46</v>
      </c>
      <c r="H262" s="12">
        <f t="shared" si="10"/>
        <v>177.46</v>
      </c>
      <c r="I262" s="12">
        <f t="shared" si="11"/>
        <v>0</v>
      </c>
    </row>
    <row r="263" spans="1:9" outlineLevel="1" x14ac:dyDescent="0.25">
      <c r="A263" t="s">
        <v>531</v>
      </c>
      <c r="B263" t="s">
        <v>103</v>
      </c>
      <c r="C263" t="s">
        <v>532</v>
      </c>
      <c r="D263" t="s">
        <v>6</v>
      </c>
      <c r="E263">
        <v>1</v>
      </c>
      <c r="G263" s="12">
        <v>861.4</v>
      </c>
      <c r="H263" s="12">
        <f t="shared" si="10"/>
        <v>861.4</v>
      </c>
      <c r="I263" s="12">
        <f t="shared" si="11"/>
        <v>0</v>
      </c>
    </row>
    <row r="264" spans="1:9" outlineLevel="1" x14ac:dyDescent="0.25">
      <c r="A264" t="s">
        <v>533</v>
      </c>
      <c r="B264" t="s">
        <v>103</v>
      </c>
      <c r="C264" t="s">
        <v>534</v>
      </c>
      <c r="D264" t="s">
        <v>56</v>
      </c>
      <c r="E264">
        <v>2</v>
      </c>
      <c r="G264" s="12">
        <v>74</v>
      </c>
      <c r="H264" s="12">
        <f t="shared" si="10"/>
        <v>148</v>
      </c>
      <c r="I264" s="12">
        <f t="shared" si="11"/>
        <v>0</v>
      </c>
    </row>
    <row r="265" spans="1:9" x14ac:dyDescent="0.25">
      <c r="A265" s="9" t="s">
        <v>535</v>
      </c>
      <c r="B265" s="9"/>
      <c r="C265" s="9" t="s">
        <v>536</v>
      </c>
      <c r="D265" s="9"/>
      <c r="E265" s="9"/>
      <c r="F265" s="9"/>
      <c r="G265" s="13"/>
      <c r="H265" s="13">
        <f>SUM(H266:H272)</f>
        <v>8530.18</v>
      </c>
      <c r="I265" s="13">
        <f>SUM(I266:I272)</f>
        <v>0</v>
      </c>
    </row>
    <row r="266" spans="1:9" outlineLevel="1" x14ac:dyDescent="0.25">
      <c r="A266" s="8" t="s">
        <v>537</v>
      </c>
      <c r="B266" s="8"/>
      <c r="C266" s="8" t="s">
        <v>538</v>
      </c>
      <c r="D266" s="8"/>
      <c r="E266" s="8"/>
      <c r="F266" s="8"/>
      <c r="G266" s="14"/>
      <c r="H266" s="14"/>
      <c r="I266" s="14"/>
    </row>
    <row r="267" spans="1:9" outlineLevel="1" x14ac:dyDescent="0.25">
      <c r="A267" t="s">
        <v>539</v>
      </c>
      <c r="B267" t="s">
        <v>103</v>
      </c>
      <c r="C267" t="s">
        <v>540</v>
      </c>
      <c r="D267" t="s">
        <v>6</v>
      </c>
      <c r="E267">
        <v>1</v>
      </c>
      <c r="G267" s="12">
        <v>62.8</v>
      </c>
      <c r="H267" s="12">
        <f>SUM(E267*G267)</f>
        <v>62.8</v>
      </c>
      <c r="I267" s="12">
        <f>G267*F267</f>
        <v>0</v>
      </c>
    </row>
    <row r="268" spans="1:9" outlineLevel="1" x14ac:dyDescent="0.25">
      <c r="A268" t="s">
        <v>541</v>
      </c>
      <c r="B268" t="s">
        <v>103</v>
      </c>
      <c r="C268" t="s">
        <v>542</v>
      </c>
      <c r="D268" t="s">
        <v>6</v>
      </c>
      <c r="E268">
        <v>10</v>
      </c>
      <c r="G268" s="12">
        <v>36.61</v>
      </c>
      <c r="H268" s="12">
        <f t="shared" ref="H268:H272" si="12">SUM(E268*G268)</f>
        <v>366.1</v>
      </c>
      <c r="I268" s="12">
        <f t="shared" ref="I268:I272" si="13">G268*F268</f>
        <v>0</v>
      </c>
    </row>
    <row r="269" spans="1:9" outlineLevel="1" x14ac:dyDescent="0.25">
      <c r="A269" t="s">
        <v>543</v>
      </c>
      <c r="B269" t="s">
        <v>103</v>
      </c>
      <c r="C269" t="s">
        <v>544</v>
      </c>
      <c r="D269" t="s">
        <v>6</v>
      </c>
      <c r="E269">
        <v>10</v>
      </c>
      <c r="G269" s="12">
        <v>20.239999999999998</v>
      </c>
      <c r="H269" s="12">
        <f t="shared" si="12"/>
        <v>202.39999999999998</v>
      </c>
      <c r="I269" s="12">
        <f t="shared" si="13"/>
        <v>0</v>
      </c>
    </row>
    <row r="270" spans="1:9" outlineLevel="1" x14ac:dyDescent="0.25">
      <c r="A270" s="8" t="s">
        <v>545</v>
      </c>
      <c r="B270" s="8"/>
      <c r="C270" s="8" t="s">
        <v>546</v>
      </c>
      <c r="D270" s="8"/>
      <c r="E270" s="8"/>
      <c r="F270" s="8"/>
      <c r="G270" s="14"/>
      <c r="H270" s="14"/>
      <c r="I270" s="14"/>
    </row>
    <row r="271" spans="1:9" outlineLevel="1" x14ac:dyDescent="0.25">
      <c r="A271" t="s">
        <v>547</v>
      </c>
      <c r="B271" t="s">
        <v>103</v>
      </c>
      <c r="C271" t="s">
        <v>548</v>
      </c>
      <c r="D271" t="s">
        <v>6</v>
      </c>
      <c r="E271">
        <v>11</v>
      </c>
      <c r="G271" s="12">
        <v>65.28</v>
      </c>
      <c r="H271" s="12">
        <f t="shared" si="12"/>
        <v>718.08</v>
      </c>
      <c r="I271" s="12">
        <f t="shared" si="13"/>
        <v>0</v>
      </c>
    </row>
    <row r="272" spans="1:9" outlineLevel="1" x14ac:dyDescent="0.25">
      <c r="A272" t="s">
        <v>549</v>
      </c>
      <c r="B272" t="s">
        <v>103</v>
      </c>
      <c r="C272" t="s">
        <v>550</v>
      </c>
      <c r="D272" t="s">
        <v>6</v>
      </c>
      <c r="E272">
        <v>110</v>
      </c>
      <c r="G272" s="12">
        <v>65.28</v>
      </c>
      <c r="H272" s="12">
        <f t="shared" si="12"/>
        <v>7180.8</v>
      </c>
      <c r="I272" s="12">
        <f t="shared" si="13"/>
        <v>0</v>
      </c>
    </row>
    <row r="273" spans="1:9" x14ac:dyDescent="0.25">
      <c r="A273" s="9" t="s">
        <v>551</v>
      </c>
      <c r="B273" s="9"/>
      <c r="C273" s="9" t="s">
        <v>552</v>
      </c>
      <c r="D273" s="9"/>
      <c r="E273" s="9"/>
      <c r="F273" s="9"/>
      <c r="G273" s="13"/>
      <c r="H273" s="13">
        <f>SUM(H274:H293)</f>
        <v>7159.75</v>
      </c>
      <c r="I273" s="13">
        <f>SUM(I274:I293)</f>
        <v>9428.625</v>
      </c>
    </row>
    <row r="274" spans="1:9" outlineLevel="1" x14ac:dyDescent="0.25">
      <c r="A274" s="8" t="s">
        <v>553</v>
      </c>
      <c r="B274" s="8"/>
      <c r="C274" s="8" t="s">
        <v>554</v>
      </c>
      <c r="D274" s="8"/>
      <c r="E274" s="8"/>
      <c r="F274" s="8"/>
      <c r="G274" s="14"/>
      <c r="H274" s="14"/>
      <c r="I274" s="14"/>
    </row>
    <row r="275" spans="1:9" outlineLevel="1" x14ac:dyDescent="0.25">
      <c r="A275" s="8"/>
      <c r="B275" s="8"/>
      <c r="C275" s="8" t="s">
        <v>555</v>
      </c>
      <c r="D275" s="8"/>
      <c r="E275" s="8"/>
      <c r="F275" s="8"/>
      <c r="G275" s="14"/>
      <c r="H275" s="14"/>
      <c r="I275" s="14"/>
    </row>
    <row r="276" spans="1:9" outlineLevel="1" x14ac:dyDescent="0.25">
      <c r="A276" t="s">
        <v>556</v>
      </c>
      <c r="B276" t="s">
        <v>103</v>
      </c>
      <c r="C276" t="s">
        <v>557</v>
      </c>
      <c r="D276" t="s">
        <v>6</v>
      </c>
      <c r="E276">
        <v>15</v>
      </c>
      <c r="G276" s="12">
        <v>37.5</v>
      </c>
      <c r="H276" s="12">
        <f>SUM(E276*G276)</f>
        <v>562.5</v>
      </c>
      <c r="I276" s="12">
        <f>G276*F276</f>
        <v>0</v>
      </c>
    </row>
    <row r="277" spans="1:9" outlineLevel="1" x14ac:dyDescent="0.25">
      <c r="A277" t="s">
        <v>558</v>
      </c>
      <c r="B277" t="s">
        <v>103</v>
      </c>
      <c r="C277" t="s">
        <v>559</v>
      </c>
      <c r="D277" t="s">
        <v>6</v>
      </c>
      <c r="E277">
        <v>15</v>
      </c>
      <c r="G277" s="12">
        <v>47.47</v>
      </c>
      <c r="H277" s="12">
        <f t="shared" ref="H277:H293" si="14">SUM(E277*G277)</f>
        <v>712.05</v>
      </c>
      <c r="I277" s="12">
        <f t="shared" ref="I277:I293" si="15">G277*F277</f>
        <v>0</v>
      </c>
    </row>
    <row r="278" spans="1:9" outlineLevel="1" x14ac:dyDescent="0.25">
      <c r="A278" s="8" t="s">
        <v>560</v>
      </c>
      <c r="B278" s="8"/>
      <c r="C278" s="8" t="s">
        <v>561</v>
      </c>
      <c r="D278" s="8"/>
      <c r="E278" s="8"/>
      <c r="F278" s="8"/>
      <c r="G278" s="14"/>
      <c r="H278" s="14"/>
      <c r="I278" s="14"/>
    </row>
    <row r="279" spans="1:9" outlineLevel="1" x14ac:dyDescent="0.25">
      <c r="A279" s="8"/>
      <c r="B279" s="8"/>
      <c r="C279" s="8" t="s">
        <v>562</v>
      </c>
      <c r="D279" s="8"/>
      <c r="E279" s="8"/>
      <c r="F279" s="8"/>
      <c r="G279" s="14"/>
      <c r="H279" s="14"/>
      <c r="I279" s="14"/>
    </row>
    <row r="280" spans="1:9" outlineLevel="1" x14ac:dyDescent="0.25">
      <c r="A280" t="s">
        <v>50</v>
      </c>
      <c r="B280" t="s">
        <v>103</v>
      </c>
      <c r="C280" t="s">
        <v>53</v>
      </c>
      <c r="D280" t="s">
        <v>56</v>
      </c>
      <c r="E280">
        <v>1</v>
      </c>
      <c r="F280">
        <v>22.75</v>
      </c>
      <c r="G280" s="12">
        <v>84.1</v>
      </c>
      <c r="H280" s="12">
        <f t="shared" si="14"/>
        <v>84.1</v>
      </c>
      <c r="I280" s="12">
        <f t="shared" si="15"/>
        <v>1913.2749999999999</v>
      </c>
    </row>
    <row r="281" spans="1:9" outlineLevel="1" x14ac:dyDescent="0.25">
      <c r="A281" t="s">
        <v>51</v>
      </c>
      <c r="B281" t="s">
        <v>103</v>
      </c>
      <c r="C281" t="s">
        <v>54</v>
      </c>
      <c r="D281" t="s">
        <v>56</v>
      </c>
      <c r="E281">
        <v>1</v>
      </c>
      <c r="F281">
        <v>85.75</v>
      </c>
      <c r="G281" s="12">
        <v>72.8</v>
      </c>
      <c r="H281" s="12">
        <f t="shared" si="14"/>
        <v>72.8</v>
      </c>
      <c r="I281" s="12">
        <f t="shared" si="15"/>
        <v>6242.5999999999995</v>
      </c>
    </row>
    <row r="282" spans="1:9" outlineLevel="1" x14ac:dyDescent="0.25">
      <c r="A282" t="s">
        <v>52</v>
      </c>
      <c r="B282" t="s">
        <v>103</v>
      </c>
      <c r="C282" t="s">
        <v>55</v>
      </c>
      <c r="D282" t="s">
        <v>56</v>
      </c>
      <c r="E282">
        <v>1</v>
      </c>
      <c r="F282">
        <v>3.5</v>
      </c>
      <c r="G282" s="12">
        <v>58.5</v>
      </c>
      <c r="H282" s="12">
        <f t="shared" si="14"/>
        <v>58.5</v>
      </c>
      <c r="I282" s="12">
        <f t="shared" si="15"/>
        <v>204.75</v>
      </c>
    </row>
    <row r="283" spans="1:9" outlineLevel="1" x14ac:dyDescent="0.25">
      <c r="A283" s="8" t="s">
        <v>563</v>
      </c>
      <c r="B283" s="8"/>
      <c r="C283" s="8" t="s">
        <v>564</v>
      </c>
      <c r="D283" s="8"/>
      <c r="E283" s="8"/>
      <c r="F283" s="8"/>
      <c r="G283" s="14"/>
      <c r="H283" s="14"/>
      <c r="I283" s="14"/>
    </row>
    <row r="284" spans="1:9" outlineLevel="1" x14ac:dyDescent="0.25">
      <c r="A284" s="8"/>
      <c r="B284" s="8"/>
      <c r="C284" s="8" t="s">
        <v>565</v>
      </c>
      <c r="D284" s="8"/>
      <c r="E284" s="8"/>
      <c r="F284" s="8"/>
      <c r="G284" s="14"/>
      <c r="H284" s="14"/>
      <c r="I284" s="14"/>
    </row>
    <row r="285" spans="1:9" outlineLevel="1" x14ac:dyDescent="0.25">
      <c r="A285" t="s">
        <v>29</v>
      </c>
      <c r="B285" t="s">
        <v>103</v>
      </c>
      <c r="C285" t="s">
        <v>30</v>
      </c>
      <c r="D285" t="s">
        <v>6</v>
      </c>
      <c r="E285">
        <v>15</v>
      </c>
      <c r="F285">
        <v>2</v>
      </c>
      <c r="G285" s="12">
        <v>47.5</v>
      </c>
      <c r="H285" s="12">
        <f t="shared" si="14"/>
        <v>712.5</v>
      </c>
      <c r="I285" s="12">
        <f t="shared" si="15"/>
        <v>95</v>
      </c>
    </row>
    <row r="286" spans="1:9" outlineLevel="1" x14ac:dyDescent="0.25">
      <c r="A286" s="8"/>
      <c r="B286" s="8"/>
      <c r="C286" s="8" t="s">
        <v>566</v>
      </c>
      <c r="D286" s="8"/>
      <c r="E286" s="8"/>
      <c r="F286" s="8"/>
      <c r="G286" s="14"/>
      <c r="H286" s="14"/>
      <c r="I286" s="14"/>
    </row>
    <row r="287" spans="1:9" outlineLevel="1" x14ac:dyDescent="0.25">
      <c r="A287" t="s">
        <v>567</v>
      </c>
      <c r="B287" t="s">
        <v>103</v>
      </c>
      <c r="C287" t="s">
        <v>568</v>
      </c>
      <c r="D287" t="s">
        <v>0</v>
      </c>
      <c r="E287">
        <v>100</v>
      </c>
      <c r="G287" s="12">
        <v>12.77</v>
      </c>
      <c r="H287" s="12">
        <f t="shared" si="14"/>
        <v>1277</v>
      </c>
      <c r="I287" s="12">
        <f t="shared" si="15"/>
        <v>0</v>
      </c>
    </row>
    <row r="288" spans="1:9" outlineLevel="1" x14ac:dyDescent="0.25">
      <c r="A288" s="8" t="s">
        <v>569</v>
      </c>
      <c r="B288" s="8"/>
      <c r="C288" s="8" t="s">
        <v>570</v>
      </c>
      <c r="D288" s="8"/>
      <c r="E288" s="8"/>
      <c r="F288" s="8"/>
      <c r="G288" s="14"/>
      <c r="H288" s="14"/>
      <c r="I288" s="14"/>
    </row>
    <row r="289" spans="1:9" outlineLevel="1" x14ac:dyDescent="0.25">
      <c r="A289" s="8"/>
      <c r="B289" s="8"/>
      <c r="C289" s="8" t="s">
        <v>571</v>
      </c>
      <c r="D289" s="8"/>
      <c r="E289" s="8"/>
      <c r="F289" s="8"/>
      <c r="G289" s="14"/>
      <c r="H289" s="14"/>
      <c r="I289" s="14"/>
    </row>
    <row r="290" spans="1:9" outlineLevel="1" x14ac:dyDescent="0.25">
      <c r="A290" t="s">
        <v>572</v>
      </c>
      <c r="B290" t="s">
        <v>103</v>
      </c>
      <c r="C290" t="s">
        <v>573</v>
      </c>
      <c r="D290" t="s">
        <v>6</v>
      </c>
      <c r="E290">
        <v>20</v>
      </c>
      <c r="G290" s="12">
        <v>24.1</v>
      </c>
      <c r="H290" s="12">
        <f t="shared" si="14"/>
        <v>482</v>
      </c>
      <c r="I290" s="12">
        <f t="shared" si="15"/>
        <v>0</v>
      </c>
    </row>
    <row r="291" spans="1:9" outlineLevel="1" x14ac:dyDescent="0.25">
      <c r="A291" t="s">
        <v>574</v>
      </c>
      <c r="B291" t="s">
        <v>103</v>
      </c>
      <c r="C291" t="s">
        <v>575</v>
      </c>
      <c r="D291" t="s">
        <v>6</v>
      </c>
      <c r="E291">
        <v>3</v>
      </c>
      <c r="G291" s="12">
        <v>24.1</v>
      </c>
      <c r="H291" s="12">
        <f t="shared" si="14"/>
        <v>72.300000000000011</v>
      </c>
      <c r="I291" s="12">
        <f t="shared" si="15"/>
        <v>0</v>
      </c>
    </row>
    <row r="292" spans="1:9" outlineLevel="1" x14ac:dyDescent="0.25">
      <c r="A292" t="s">
        <v>576</v>
      </c>
      <c r="B292" t="s">
        <v>103</v>
      </c>
      <c r="C292" t="s">
        <v>31</v>
      </c>
      <c r="D292" t="s">
        <v>6</v>
      </c>
      <c r="E292">
        <v>110</v>
      </c>
      <c r="F292">
        <v>35</v>
      </c>
      <c r="G292" s="12">
        <v>27.8</v>
      </c>
      <c r="H292" s="12">
        <f t="shared" si="14"/>
        <v>3058</v>
      </c>
      <c r="I292" s="12">
        <f t="shared" si="15"/>
        <v>973</v>
      </c>
    </row>
    <row r="293" spans="1:9" outlineLevel="1" x14ac:dyDescent="0.25">
      <c r="A293" t="s">
        <v>577</v>
      </c>
      <c r="B293" t="s">
        <v>103</v>
      </c>
      <c r="C293" t="s">
        <v>578</v>
      </c>
      <c r="D293" t="s">
        <v>6</v>
      </c>
      <c r="E293">
        <v>2</v>
      </c>
      <c r="G293" s="12">
        <v>34</v>
      </c>
      <c r="H293" s="12">
        <f t="shared" si="14"/>
        <v>68</v>
      </c>
      <c r="I293" s="12">
        <f t="shared" si="15"/>
        <v>0</v>
      </c>
    </row>
    <row r="294" spans="1:9" x14ac:dyDescent="0.25">
      <c r="A294" s="9">
        <v>2</v>
      </c>
      <c r="B294" s="9"/>
      <c r="C294" s="9" t="s">
        <v>579</v>
      </c>
      <c r="D294" s="9"/>
      <c r="E294" s="9"/>
      <c r="F294" s="9"/>
      <c r="G294" s="13"/>
      <c r="H294" s="13">
        <f>SUM(H295:H522)</f>
        <v>161956.53999999992</v>
      </c>
      <c r="I294" s="13">
        <f>SUM(I295:I522)</f>
        <v>0</v>
      </c>
    </row>
    <row r="295" spans="1:9" outlineLevel="1" x14ac:dyDescent="0.25">
      <c r="A295" s="8" t="s">
        <v>580</v>
      </c>
      <c r="B295" s="8"/>
      <c r="C295" s="8" t="s">
        <v>581</v>
      </c>
      <c r="D295" s="8"/>
      <c r="E295" s="8"/>
      <c r="F295" s="8"/>
      <c r="G295" s="14"/>
      <c r="H295" s="14"/>
      <c r="I295" s="14"/>
    </row>
    <row r="296" spans="1:9" outlineLevel="1" x14ac:dyDescent="0.25">
      <c r="A296" s="8" t="s">
        <v>582</v>
      </c>
      <c r="B296" s="8"/>
      <c r="C296" s="8" t="s">
        <v>583</v>
      </c>
      <c r="D296" s="8"/>
      <c r="E296" s="8"/>
      <c r="F296" s="8"/>
      <c r="G296" s="14"/>
      <c r="H296" s="14"/>
      <c r="I296" s="14"/>
    </row>
    <row r="297" spans="1:9" outlineLevel="1" x14ac:dyDescent="0.25">
      <c r="A297" t="s">
        <v>584</v>
      </c>
      <c r="B297" t="s">
        <v>103</v>
      </c>
      <c r="C297" t="s">
        <v>585</v>
      </c>
      <c r="D297" t="s">
        <v>6</v>
      </c>
      <c r="E297">
        <v>1</v>
      </c>
      <c r="G297" s="12">
        <v>1131.52</v>
      </c>
      <c r="H297" s="12">
        <f>SUM(E297*G297)</f>
        <v>1131.52</v>
      </c>
      <c r="I297" s="12">
        <f>G297*F297</f>
        <v>0</v>
      </c>
    </row>
    <row r="298" spans="1:9" outlineLevel="1" x14ac:dyDescent="0.25">
      <c r="A298" s="8" t="s">
        <v>586</v>
      </c>
      <c r="B298" s="8"/>
      <c r="C298" s="8" t="s">
        <v>587</v>
      </c>
      <c r="D298" s="8"/>
      <c r="E298" s="8"/>
      <c r="F298" s="8"/>
      <c r="G298" s="14"/>
      <c r="H298" s="14"/>
      <c r="I298" s="14"/>
    </row>
    <row r="299" spans="1:9" outlineLevel="1" x14ac:dyDescent="0.25">
      <c r="A299" t="s">
        <v>588</v>
      </c>
      <c r="B299" t="s">
        <v>103</v>
      </c>
      <c r="C299" t="s">
        <v>589</v>
      </c>
      <c r="D299" t="s">
        <v>6</v>
      </c>
      <c r="E299">
        <v>3</v>
      </c>
      <c r="G299" s="12">
        <v>440.34</v>
      </c>
      <c r="H299" s="12">
        <f t="shared" ref="H299:H361" si="16">SUM(E299*G299)</f>
        <v>1321.02</v>
      </c>
      <c r="I299" s="12">
        <f t="shared" ref="I299:I361" si="17">G299*F299</f>
        <v>0</v>
      </c>
    </row>
    <row r="300" spans="1:9" outlineLevel="1" x14ac:dyDescent="0.25">
      <c r="A300" t="s">
        <v>590</v>
      </c>
      <c r="B300" t="s">
        <v>103</v>
      </c>
      <c r="C300" t="s">
        <v>591</v>
      </c>
      <c r="D300" t="s">
        <v>6</v>
      </c>
      <c r="E300">
        <v>3</v>
      </c>
      <c r="G300" s="12">
        <v>322.62</v>
      </c>
      <c r="H300" s="12">
        <f t="shared" si="16"/>
        <v>967.86</v>
      </c>
      <c r="I300" s="12">
        <f t="shared" si="17"/>
        <v>0</v>
      </c>
    </row>
    <row r="301" spans="1:9" outlineLevel="1" x14ac:dyDescent="0.25">
      <c r="A301" t="s">
        <v>592</v>
      </c>
      <c r="B301" t="s">
        <v>103</v>
      </c>
      <c r="C301" t="s">
        <v>593</v>
      </c>
      <c r="D301" t="s">
        <v>6</v>
      </c>
      <c r="E301">
        <v>3</v>
      </c>
      <c r="G301" s="12">
        <v>411.71</v>
      </c>
      <c r="H301" s="12">
        <f t="shared" si="16"/>
        <v>1235.1299999999999</v>
      </c>
      <c r="I301" s="12">
        <f t="shared" si="17"/>
        <v>0</v>
      </c>
    </row>
    <row r="302" spans="1:9" outlineLevel="1" x14ac:dyDescent="0.25">
      <c r="A302" s="8" t="s">
        <v>594</v>
      </c>
      <c r="B302" s="8"/>
      <c r="C302" s="8" t="s">
        <v>595</v>
      </c>
      <c r="D302" s="8"/>
      <c r="E302" s="8"/>
      <c r="F302" s="8"/>
      <c r="G302" s="14"/>
      <c r="H302" s="14"/>
      <c r="I302" s="14"/>
    </row>
    <row r="303" spans="1:9" outlineLevel="1" x14ac:dyDescent="0.25">
      <c r="A303" s="8" t="s">
        <v>596</v>
      </c>
      <c r="B303" s="8"/>
      <c r="C303" s="8" t="s">
        <v>597</v>
      </c>
      <c r="D303" s="8"/>
      <c r="E303" s="8"/>
      <c r="F303" s="8"/>
      <c r="G303" s="14"/>
      <c r="H303" s="14"/>
      <c r="I303" s="14"/>
    </row>
    <row r="304" spans="1:9" outlineLevel="1" x14ac:dyDescent="0.25">
      <c r="A304" t="s">
        <v>598</v>
      </c>
      <c r="B304" t="s">
        <v>103</v>
      </c>
      <c r="C304" t="s">
        <v>599</v>
      </c>
      <c r="D304" t="s">
        <v>6</v>
      </c>
      <c r="E304">
        <v>1</v>
      </c>
      <c r="G304" s="12">
        <v>2292.13</v>
      </c>
      <c r="H304" s="12">
        <f t="shared" si="16"/>
        <v>2292.13</v>
      </c>
      <c r="I304" s="12">
        <f t="shared" si="17"/>
        <v>0</v>
      </c>
    </row>
    <row r="305" spans="1:9" outlineLevel="1" x14ac:dyDescent="0.25">
      <c r="A305" t="s">
        <v>600</v>
      </c>
      <c r="B305" t="s">
        <v>103</v>
      </c>
      <c r="C305" t="s">
        <v>601</v>
      </c>
      <c r="D305" t="s">
        <v>6</v>
      </c>
      <c r="E305">
        <v>3</v>
      </c>
      <c r="G305" s="12">
        <v>11.64</v>
      </c>
      <c r="H305" s="12">
        <f t="shared" si="16"/>
        <v>34.92</v>
      </c>
      <c r="I305" s="12">
        <f t="shared" si="17"/>
        <v>0</v>
      </c>
    </row>
    <row r="306" spans="1:9" outlineLevel="1" x14ac:dyDescent="0.25">
      <c r="A306" t="s">
        <v>602</v>
      </c>
      <c r="B306" t="s">
        <v>103</v>
      </c>
      <c r="C306" t="s">
        <v>603</v>
      </c>
      <c r="D306" t="s">
        <v>6</v>
      </c>
      <c r="E306">
        <v>1</v>
      </c>
      <c r="G306" s="12">
        <v>12.39</v>
      </c>
      <c r="H306" s="12">
        <f t="shared" si="16"/>
        <v>12.39</v>
      </c>
      <c r="I306" s="12">
        <f t="shared" si="17"/>
        <v>0</v>
      </c>
    </row>
    <row r="307" spans="1:9" outlineLevel="1" x14ac:dyDescent="0.25">
      <c r="A307" t="s">
        <v>604</v>
      </c>
      <c r="B307" t="s">
        <v>103</v>
      </c>
      <c r="C307" t="s">
        <v>605</v>
      </c>
      <c r="D307" t="s">
        <v>6</v>
      </c>
      <c r="E307">
        <v>4</v>
      </c>
      <c r="G307" s="12">
        <v>29.18</v>
      </c>
      <c r="H307" s="12">
        <f t="shared" si="16"/>
        <v>116.72</v>
      </c>
      <c r="I307" s="12">
        <f t="shared" si="17"/>
        <v>0</v>
      </c>
    </row>
    <row r="308" spans="1:9" outlineLevel="1" x14ac:dyDescent="0.25">
      <c r="A308" t="s">
        <v>606</v>
      </c>
      <c r="B308" t="s">
        <v>103</v>
      </c>
      <c r="C308" t="s">
        <v>607</v>
      </c>
      <c r="D308" t="s">
        <v>6</v>
      </c>
      <c r="E308">
        <v>1</v>
      </c>
      <c r="G308" s="12">
        <v>90.06</v>
      </c>
      <c r="H308" s="12">
        <f t="shared" si="16"/>
        <v>90.06</v>
      </c>
      <c r="I308" s="12">
        <f t="shared" si="17"/>
        <v>0</v>
      </c>
    </row>
    <row r="309" spans="1:9" outlineLevel="1" x14ac:dyDescent="0.25">
      <c r="A309" t="s">
        <v>608</v>
      </c>
      <c r="B309" t="s">
        <v>103</v>
      </c>
      <c r="C309" t="s">
        <v>609</v>
      </c>
      <c r="D309" t="s">
        <v>6</v>
      </c>
      <c r="E309">
        <v>1</v>
      </c>
      <c r="G309" s="12">
        <v>165.53</v>
      </c>
      <c r="H309" s="12">
        <f t="shared" si="16"/>
        <v>165.53</v>
      </c>
      <c r="I309" s="12">
        <f t="shared" si="17"/>
        <v>0</v>
      </c>
    </row>
    <row r="310" spans="1:9" outlineLevel="1" x14ac:dyDescent="0.25">
      <c r="A310" t="s">
        <v>610</v>
      </c>
      <c r="B310" t="s">
        <v>103</v>
      </c>
      <c r="C310" t="s">
        <v>611</v>
      </c>
      <c r="D310" t="s">
        <v>6</v>
      </c>
      <c r="E310">
        <v>1</v>
      </c>
      <c r="G310" s="12">
        <v>102.14</v>
      </c>
      <c r="H310" s="12">
        <f t="shared" si="16"/>
        <v>102.14</v>
      </c>
      <c r="I310" s="12">
        <f t="shared" si="17"/>
        <v>0</v>
      </c>
    </row>
    <row r="311" spans="1:9" outlineLevel="1" x14ac:dyDescent="0.25">
      <c r="A311" t="s">
        <v>612</v>
      </c>
      <c r="B311" t="s">
        <v>103</v>
      </c>
      <c r="C311" t="s">
        <v>613</v>
      </c>
      <c r="D311" t="s">
        <v>6</v>
      </c>
      <c r="E311">
        <v>1</v>
      </c>
      <c r="G311" s="12">
        <v>1742.96</v>
      </c>
      <c r="H311" s="12">
        <f t="shared" si="16"/>
        <v>1742.96</v>
      </c>
      <c r="I311" s="12">
        <f t="shared" si="17"/>
        <v>0</v>
      </c>
    </row>
    <row r="312" spans="1:9" outlineLevel="1" x14ac:dyDescent="0.25">
      <c r="A312" t="s">
        <v>614</v>
      </c>
      <c r="B312" t="s">
        <v>103</v>
      </c>
      <c r="C312" t="s">
        <v>615</v>
      </c>
      <c r="D312" t="s">
        <v>6</v>
      </c>
      <c r="E312">
        <v>1</v>
      </c>
      <c r="G312" s="12">
        <v>216.32</v>
      </c>
      <c r="H312" s="12">
        <f t="shared" si="16"/>
        <v>216.32</v>
      </c>
      <c r="I312" s="12">
        <f t="shared" si="17"/>
        <v>0</v>
      </c>
    </row>
    <row r="313" spans="1:9" outlineLevel="1" x14ac:dyDescent="0.25">
      <c r="A313" t="s">
        <v>616</v>
      </c>
      <c r="B313" t="s">
        <v>103</v>
      </c>
      <c r="C313" t="s">
        <v>617</v>
      </c>
      <c r="D313" t="s">
        <v>6</v>
      </c>
      <c r="E313">
        <v>1</v>
      </c>
      <c r="G313" s="12">
        <v>37.28</v>
      </c>
      <c r="H313" s="12">
        <f t="shared" si="16"/>
        <v>37.28</v>
      </c>
      <c r="I313" s="12">
        <f t="shared" si="17"/>
        <v>0</v>
      </c>
    </row>
    <row r="314" spans="1:9" outlineLevel="1" x14ac:dyDescent="0.25">
      <c r="A314" t="s">
        <v>618</v>
      </c>
      <c r="B314" t="s">
        <v>103</v>
      </c>
      <c r="C314" t="s">
        <v>619</v>
      </c>
      <c r="D314" t="s">
        <v>6</v>
      </c>
      <c r="E314">
        <v>2</v>
      </c>
      <c r="G314" s="12">
        <v>280.86</v>
      </c>
      <c r="H314" s="12">
        <f t="shared" si="16"/>
        <v>561.72</v>
      </c>
      <c r="I314" s="12">
        <f t="shared" si="17"/>
        <v>0</v>
      </c>
    </row>
    <row r="315" spans="1:9" outlineLevel="1" x14ac:dyDescent="0.25">
      <c r="A315" t="s">
        <v>620</v>
      </c>
      <c r="B315" t="s">
        <v>103</v>
      </c>
      <c r="C315" t="s">
        <v>621</v>
      </c>
      <c r="D315" t="s">
        <v>6</v>
      </c>
      <c r="E315">
        <v>1</v>
      </c>
      <c r="G315" s="12">
        <v>7373.66</v>
      </c>
      <c r="H315" s="12">
        <f t="shared" si="16"/>
        <v>7373.66</v>
      </c>
      <c r="I315" s="12">
        <f t="shared" si="17"/>
        <v>0</v>
      </c>
    </row>
    <row r="316" spans="1:9" outlineLevel="1" x14ac:dyDescent="0.25">
      <c r="A316" t="s">
        <v>622</v>
      </c>
      <c r="B316" t="s">
        <v>103</v>
      </c>
      <c r="C316" t="s">
        <v>621</v>
      </c>
      <c r="D316" t="s">
        <v>6</v>
      </c>
      <c r="E316">
        <v>1</v>
      </c>
      <c r="G316" s="12">
        <v>4506.17</v>
      </c>
      <c r="H316" s="12">
        <f t="shared" si="16"/>
        <v>4506.17</v>
      </c>
      <c r="I316" s="12">
        <f t="shared" si="17"/>
        <v>0</v>
      </c>
    </row>
    <row r="317" spans="1:9" outlineLevel="1" x14ac:dyDescent="0.25">
      <c r="A317" t="s">
        <v>623</v>
      </c>
      <c r="B317" t="s">
        <v>103</v>
      </c>
      <c r="C317" t="s">
        <v>624</v>
      </c>
      <c r="D317" t="s">
        <v>6</v>
      </c>
      <c r="E317">
        <v>2</v>
      </c>
      <c r="G317" s="12">
        <v>703.27</v>
      </c>
      <c r="H317" s="12">
        <f t="shared" si="16"/>
        <v>1406.54</v>
      </c>
      <c r="I317" s="12">
        <f t="shared" si="17"/>
        <v>0</v>
      </c>
    </row>
    <row r="318" spans="1:9" outlineLevel="1" x14ac:dyDescent="0.25">
      <c r="A318" t="s">
        <v>625</v>
      </c>
      <c r="B318" t="s">
        <v>103</v>
      </c>
      <c r="C318" t="s">
        <v>626</v>
      </c>
      <c r="D318" t="s">
        <v>6</v>
      </c>
      <c r="E318">
        <v>2</v>
      </c>
      <c r="G318" s="12">
        <v>423.46</v>
      </c>
      <c r="H318" s="12">
        <f t="shared" si="16"/>
        <v>846.92</v>
      </c>
      <c r="I318" s="12">
        <f t="shared" si="17"/>
        <v>0</v>
      </c>
    </row>
    <row r="319" spans="1:9" outlineLevel="1" x14ac:dyDescent="0.25">
      <c r="A319" t="s">
        <v>627</v>
      </c>
      <c r="B319" t="s">
        <v>103</v>
      </c>
      <c r="C319" t="s">
        <v>628</v>
      </c>
      <c r="D319" t="s">
        <v>6</v>
      </c>
      <c r="E319">
        <v>1</v>
      </c>
      <c r="G319" s="12">
        <v>888.06</v>
      </c>
      <c r="H319" s="12">
        <f t="shared" si="16"/>
        <v>888.06</v>
      </c>
      <c r="I319" s="12">
        <f t="shared" si="17"/>
        <v>0</v>
      </c>
    </row>
    <row r="320" spans="1:9" outlineLevel="1" x14ac:dyDescent="0.25">
      <c r="A320" t="s">
        <v>629</v>
      </c>
      <c r="B320" t="s">
        <v>103</v>
      </c>
      <c r="C320" t="s">
        <v>630</v>
      </c>
      <c r="D320" t="s">
        <v>6</v>
      </c>
      <c r="E320">
        <v>1</v>
      </c>
      <c r="G320" s="12">
        <v>138.22999999999999</v>
      </c>
      <c r="H320" s="12">
        <f t="shared" si="16"/>
        <v>138.22999999999999</v>
      </c>
      <c r="I320" s="12">
        <f t="shared" si="17"/>
        <v>0</v>
      </c>
    </row>
    <row r="321" spans="1:9" outlineLevel="1" x14ac:dyDescent="0.25">
      <c r="A321" t="s">
        <v>631</v>
      </c>
      <c r="B321" t="s">
        <v>103</v>
      </c>
      <c r="C321" t="s">
        <v>632</v>
      </c>
      <c r="D321" t="s">
        <v>6</v>
      </c>
      <c r="E321">
        <v>1</v>
      </c>
      <c r="G321" s="12">
        <v>611.04</v>
      </c>
      <c r="H321" s="12">
        <f t="shared" si="16"/>
        <v>611.04</v>
      </c>
      <c r="I321" s="12">
        <f t="shared" si="17"/>
        <v>0</v>
      </c>
    </row>
    <row r="322" spans="1:9" outlineLevel="1" x14ac:dyDescent="0.25">
      <c r="A322" t="s">
        <v>633</v>
      </c>
      <c r="B322" t="s">
        <v>103</v>
      </c>
      <c r="C322" t="s">
        <v>634</v>
      </c>
      <c r="D322" t="s">
        <v>6</v>
      </c>
      <c r="E322">
        <v>4</v>
      </c>
      <c r="G322" s="12">
        <v>95.76</v>
      </c>
      <c r="H322" s="12">
        <f t="shared" si="16"/>
        <v>383.04</v>
      </c>
      <c r="I322" s="12">
        <f t="shared" si="17"/>
        <v>0</v>
      </c>
    </row>
    <row r="323" spans="1:9" outlineLevel="1" x14ac:dyDescent="0.25">
      <c r="A323" t="s">
        <v>635</v>
      </c>
      <c r="B323" t="s">
        <v>103</v>
      </c>
      <c r="C323" t="s">
        <v>636</v>
      </c>
      <c r="D323" t="s">
        <v>6</v>
      </c>
      <c r="E323">
        <v>1</v>
      </c>
      <c r="G323" s="12">
        <v>893.76</v>
      </c>
      <c r="H323" s="12">
        <f t="shared" si="16"/>
        <v>893.76</v>
      </c>
      <c r="I323" s="12">
        <f t="shared" si="17"/>
        <v>0</v>
      </c>
    </row>
    <row r="324" spans="1:9" outlineLevel="1" x14ac:dyDescent="0.25">
      <c r="A324" t="s">
        <v>637</v>
      </c>
      <c r="B324" t="s">
        <v>103</v>
      </c>
      <c r="C324" t="s">
        <v>638</v>
      </c>
      <c r="D324" t="s">
        <v>6</v>
      </c>
      <c r="E324">
        <v>1</v>
      </c>
      <c r="G324" s="12">
        <v>726.18</v>
      </c>
      <c r="H324" s="12">
        <f t="shared" si="16"/>
        <v>726.18</v>
      </c>
      <c r="I324" s="12">
        <f t="shared" si="17"/>
        <v>0</v>
      </c>
    </row>
    <row r="325" spans="1:9" outlineLevel="1" x14ac:dyDescent="0.25">
      <c r="A325" t="s">
        <v>639</v>
      </c>
      <c r="B325" t="s">
        <v>103</v>
      </c>
      <c r="C325" t="s">
        <v>640</v>
      </c>
      <c r="D325" t="s">
        <v>6</v>
      </c>
      <c r="E325">
        <v>4</v>
      </c>
      <c r="G325" s="12">
        <v>399.67</v>
      </c>
      <c r="H325" s="12">
        <f t="shared" si="16"/>
        <v>1598.68</v>
      </c>
      <c r="I325" s="12">
        <f t="shared" si="17"/>
        <v>0</v>
      </c>
    </row>
    <row r="326" spans="1:9" outlineLevel="1" x14ac:dyDescent="0.25">
      <c r="A326" t="s">
        <v>641</v>
      </c>
      <c r="B326" t="s">
        <v>103</v>
      </c>
      <c r="C326" t="s">
        <v>642</v>
      </c>
      <c r="D326" t="s">
        <v>6</v>
      </c>
      <c r="E326">
        <v>55</v>
      </c>
      <c r="G326" s="12">
        <v>52.06</v>
      </c>
      <c r="H326" s="12">
        <f t="shared" si="16"/>
        <v>2863.3</v>
      </c>
      <c r="I326" s="12">
        <f t="shared" si="17"/>
        <v>0</v>
      </c>
    </row>
    <row r="327" spans="1:9" outlineLevel="1" x14ac:dyDescent="0.25">
      <c r="A327" t="s">
        <v>643</v>
      </c>
      <c r="B327" t="s">
        <v>103</v>
      </c>
      <c r="C327" t="s">
        <v>644</v>
      </c>
      <c r="D327" t="s">
        <v>6</v>
      </c>
      <c r="E327">
        <v>23</v>
      </c>
      <c r="G327" s="12">
        <v>37.979999999999997</v>
      </c>
      <c r="H327" s="12">
        <f t="shared" si="16"/>
        <v>873.54</v>
      </c>
      <c r="I327" s="12">
        <f t="shared" si="17"/>
        <v>0</v>
      </c>
    </row>
    <row r="328" spans="1:9" outlineLevel="1" x14ac:dyDescent="0.25">
      <c r="A328" t="s">
        <v>645</v>
      </c>
      <c r="B328" t="s">
        <v>103</v>
      </c>
      <c r="C328" t="s">
        <v>646</v>
      </c>
      <c r="D328" t="s">
        <v>6</v>
      </c>
      <c r="E328">
        <v>6</v>
      </c>
      <c r="G328" s="12">
        <v>50.59</v>
      </c>
      <c r="H328" s="12">
        <f t="shared" si="16"/>
        <v>303.54000000000002</v>
      </c>
      <c r="I328" s="12">
        <f t="shared" si="17"/>
        <v>0</v>
      </c>
    </row>
    <row r="329" spans="1:9" outlineLevel="1" x14ac:dyDescent="0.25">
      <c r="A329" t="s">
        <v>647</v>
      </c>
      <c r="B329" t="s">
        <v>103</v>
      </c>
      <c r="C329" t="s">
        <v>648</v>
      </c>
      <c r="D329" t="s">
        <v>6</v>
      </c>
      <c r="E329">
        <v>20</v>
      </c>
      <c r="G329" s="12">
        <v>120.34</v>
      </c>
      <c r="H329" s="12">
        <f t="shared" si="16"/>
        <v>2406.8000000000002</v>
      </c>
      <c r="I329" s="12">
        <f t="shared" si="17"/>
        <v>0</v>
      </c>
    </row>
    <row r="330" spans="1:9" outlineLevel="1" x14ac:dyDescent="0.25">
      <c r="A330" t="s">
        <v>649</v>
      </c>
      <c r="B330" t="s">
        <v>103</v>
      </c>
      <c r="C330" t="s">
        <v>650</v>
      </c>
      <c r="D330" t="s">
        <v>141</v>
      </c>
      <c r="E330">
        <v>1</v>
      </c>
      <c r="G330" s="12">
        <v>729.6</v>
      </c>
      <c r="H330" s="12">
        <f t="shared" si="16"/>
        <v>729.6</v>
      </c>
      <c r="I330" s="12">
        <f t="shared" si="17"/>
        <v>0</v>
      </c>
    </row>
    <row r="331" spans="1:9" outlineLevel="1" x14ac:dyDescent="0.25">
      <c r="A331" t="s">
        <v>651</v>
      </c>
      <c r="B331" t="s">
        <v>103</v>
      </c>
      <c r="C331" t="s">
        <v>652</v>
      </c>
      <c r="D331" t="s">
        <v>141</v>
      </c>
      <c r="E331">
        <v>1</v>
      </c>
      <c r="G331" s="12">
        <v>364.8</v>
      </c>
      <c r="H331" s="12">
        <f t="shared" si="16"/>
        <v>364.8</v>
      </c>
      <c r="I331" s="12">
        <f t="shared" si="17"/>
        <v>0</v>
      </c>
    </row>
    <row r="332" spans="1:9" outlineLevel="1" x14ac:dyDescent="0.25">
      <c r="A332" s="8" t="s">
        <v>653</v>
      </c>
      <c r="B332" s="8"/>
      <c r="C332" s="8" t="s">
        <v>654</v>
      </c>
      <c r="D332" s="8"/>
      <c r="E332" s="8"/>
      <c r="F332" s="8"/>
      <c r="G332" s="14"/>
      <c r="H332" s="14"/>
      <c r="I332" s="14"/>
    </row>
    <row r="333" spans="1:9" outlineLevel="1" x14ac:dyDescent="0.25">
      <c r="A333" s="8" t="s">
        <v>655</v>
      </c>
      <c r="B333" s="8"/>
      <c r="C333" s="8" t="s">
        <v>654</v>
      </c>
      <c r="D333" s="8"/>
      <c r="E333" s="8"/>
      <c r="F333" s="8"/>
      <c r="G333" s="14"/>
      <c r="H333" s="14"/>
      <c r="I333" s="14"/>
    </row>
    <row r="334" spans="1:9" outlineLevel="1" x14ac:dyDescent="0.25">
      <c r="A334" s="8"/>
      <c r="B334" s="8"/>
      <c r="C334" s="8" t="s">
        <v>656</v>
      </c>
      <c r="D334" s="8"/>
      <c r="E334" s="8"/>
      <c r="F334" s="8"/>
      <c r="G334" s="14"/>
      <c r="H334" s="14"/>
      <c r="I334" s="14"/>
    </row>
    <row r="335" spans="1:9" outlineLevel="1" x14ac:dyDescent="0.25">
      <c r="A335" s="8"/>
      <c r="B335" s="8"/>
      <c r="C335" s="8" t="s">
        <v>657</v>
      </c>
      <c r="D335" s="8"/>
      <c r="E335" s="8"/>
      <c r="F335" s="8"/>
      <c r="G335" s="14"/>
      <c r="H335" s="14"/>
      <c r="I335" s="14"/>
    </row>
    <row r="336" spans="1:9" outlineLevel="1" x14ac:dyDescent="0.25">
      <c r="A336" s="8"/>
      <c r="B336" s="8"/>
      <c r="C336" s="8" t="s">
        <v>658</v>
      </c>
      <c r="D336" s="8"/>
      <c r="E336" s="8"/>
      <c r="F336" s="8"/>
      <c r="G336" s="14"/>
      <c r="H336" s="14"/>
      <c r="I336" s="14"/>
    </row>
    <row r="337" spans="1:9" outlineLevel="1" x14ac:dyDescent="0.25">
      <c r="A337" t="s">
        <v>659</v>
      </c>
      <c r="B337" t="s">
        <v>103</v>
      </c>
      <c r="C337" t="s">
        <v>660</v>
      </c>
      <c r="D337" t="s">
        <v>6</v>
      </c>
      <c r="E337">
        <v>1</v>
      </c>
      <c r="G337" s="12">
        <v>4265.71</v>
      </c>
      <c r="H337" s="12">
        <f t="shared" si="16"/>
        <v>4265.71</v>
      </c>
      <c r="I337" s="12">
        <f t="shared" si="17"/>
        <v>0</v>
      </c>
    </row>
    <row r="338" spans="1:9" outlineLevel="1" x14ac:dyDescent="0.25">
      <c r="A338" t="s">
        <v>661</v>
      </c>
      <c r="B338" t="s">
        <v>103</v>
      </c>
      <c r="C338" t="s">
        <v>662</v>
      </c>
      <c r="D338" t="s">
        <v>6</v>
      </c>
      <c r="E338">
        <v>1</v>
      </c>
      <c r="G338" s="12">
        <v>11.4</v>
      </c>
      <c r="H338" s="12">
        <f t="shared" si="16"/>
        <v>11.4</v>
      </c>
      <c r="I338" s="12">
        <f t="shared" si="17"/>
        <v>0</v>
      </c>
    </row>
    <row r="339" spans="1:9" outlineLevel="1" x14ac:dyDescent="0.25">
      <c r="A339" t="s">
        <v>663</v>
      </c>
      <c r="B339" t="s">
        <v>103</v>
      </c>
      <c r="C339" t="s">
        <v>664</v>
      </c>
      <c r="D339" t="s">
        <v>6</v>
      </c>
      <c r="E339">
        <v>2</v>
      </c>
      <c r="G339" s="12">
        <v>98.72</v>
      </c>
      <c r="H339" s="12">
        <f t="shared" si="16"/>
        <v>197.44</v>
      </c>
      <c r="I339" s="12">
        <f t="shared" si="17"/>
        <v>0</v>
      </c>
    </row>
    <row r="340" spans="1:9" outlineLevel="1" x14ac:dyDescent="0.25">
      <c r="A340" t="s">
        <v>665</v>
      </c>
      <c r="B340" t="s">
        <v>103</v>
      </c>
      <c r="C340" t="s">
        <v>660</v>
      </c>
      <c r="D340" t="s">
        <v>6</v>
      </c>
      <c r="E340">
        <v>1</v>
      </c>
      <c r="G340" s="12">
        <v>3408.6</v>
      </c>
      <c r="H340" s="12">
        <f t="shared" si="16"/>
        <v>3408.6</v>
      </c>
      <c r="I340" s="12">
        <f t="shared" si="17"/>
        <v>0</v>
      </c>
    </row>
    <row r="341" spans="1:9" outlineLevel="1" x14ac:dyDescent="0.25">
      <c r="A341" t="s">
        <v>666</v>
      </c>
      <c r="B341" t="s">
        <v>103</v>
      </c>
      <c r="C341" t="s">
        <v>667</v>
      </c>
      <c r="D341" t="s">
        <v>6</v>
      </c>
      <c r="E341">
        <v>2</v>
      </c>
      <c r="G341" s="12">
        <v>32.6</v>
      </c>
      <c r="H341" s="12">
        <f t="shared" si="16"/>
        <v>65.2</v>
      </c>
      <c r="I341" s="12">
        <f t="shared" si="17"/>
        <v>0</v>
      </c>
    </row>
    <row r="342" spans="1:9" outlineLevel="1" x14ac:dyDescent="0.25">
      <c r="A342" t="s">
        <v>668</v>
      </c>
      <c r="B342" t="s">
        <v>103</v>
      </c>
      <c r="C342" t="s">
        <v>669</v>
      </c>
      <c r="D342" t="s">
        <v>6</v>
      </c>
      <c r="E342">
        <v>2</v>
      </c>
      <c r="G342" s="12">
        <v>13.91</v>
      </c>
      <c r="H342" s="12">
        <f t="shared" si="16"/>
        <v>27.82</v>
      </c>
      <c r="I342" s="12">
        <f t="shared" si="17"/>
        <v>0</v>
      </c>
    </row>
    <row r="343" spans="1:9" outlineLevel="1" x14ac:dyDescent="0.25">
      <c r="A343" t="s">
        <v>670</v>
      </c>
      <c r="B343" t="s">
        <v>103</v>
      </c>
      <c r="C343" t="s">
        <v>671</v>
      </c>
      <c r="D343" t="s">
        <v>6</v>
      </c>
      <c r="E343">
        <v>2</v>
      </c>
      <c r="G343" s="12">
        <v>20.52</v>
      </c>
      <c r="H343" s="12">
        <f t="shared" si="16"/>
        <v>41.04</v>
      </c>
      <c r="I343" s="12">
        <f t="shared" si="17"/>
        <v>0</v>
      </c>
    </row>
    <row r="344" spans="1:9" outlineLevel="1" x14ac:dyDescent="0.25">
      <c r="A344" t="s">
        <v>672</v>
      </c>
      <c r="B344" t="s">
        <v>103</v>
      </c>
      <c r="C344" t="s">
        <v>673</v>
      </c>
      <c r="D344" t="s">
        <v>6</v>
      </c>
      <c r="E344">
        <v>2</v>
      </c>
      <c r="G344" s="12">
        <v>12.77</v>
      </c>
      <c r="H344" s="12">
        <f t="shared" si="16"/>
        <v>25.54</v>
      </c>
      <c r="I344" s="12">
        <f t="shared" si="17"/>
        <v>0</v>
      </c>
    </row>
    <row r="345" spans="1:9" outlineLevel="1" x14ac:dyDescent="0.25">
      <c r="A345" s="8"/>
      <c r="B345" s="8"/>
      <c r="C345" s="8" t="s">
        <v>674</v>
      </c>
      <c r="D345" s="8"/>
      <c r="E345" s="8"/>
      <c r="F345" s="8"/>
      <c r="G345" s="14"/>
      <c r="H345" s="14"/>
      <c r="I345" s="14"/>
    </row>
    <row r="346" spans="1:9" outlineLevel="1" x14ac:dyDescent="0.25">
      <c r="A346" t="s">
        <v>675</v>
      </c>
      <c r="B346" t="s">
        <v>103</v>
      </c>
      <c r="C346" t="s">
        <v>676</v>
      </c>
      <c r="D346" t="s">
        <v>6</v>
      </c>
      <c r="E346">
        <v>1</v>
      </c>
      <c r="G346" s="12">
        <v>792.64</v>
      </c>
      <c r="H346" s="12">
        <f t="shared" si="16"/>
        <v>792.64</v>
      </c>
      <c r="I346" s="12">
        <f t="shared" si="17"/>
        <v>0</v>
      </c>
    </row>
    <row r="347" spans="1:9" outlineLevel="1" x14ac:dyDescent="0.25">
      <c r="A347" t="s">
        <v>677</v>
      </c>
      <c r="B347" t="s">
        <v>103</v>
      </c>
      <c r="C347" t="s">
        <v>678</v>
      </c>
      <c r="D347" t="s">
        <v>6</v>
      </c>
      <c r="E347">
        <v>12</v>
      </c>
      <c r="G347" s="12">
        <v>51.53</v>
      </c>
      <c r="H347" s="12">
        <f t="shared" si="16"/>
        <v>618.36</v>
      </c>
      <c r="I347" s="12">
        <f t="shared" si="17"/>
        <v>0</v>
      </c>
    </row>
    <row r="348" spans="1:9" outlineLevel="1" x14ac:dyDescent="0.25">
      <c r="A348" t="s">
        <v>679</v>
      </c>
      <c r="B348" t="s">
        <v>103</v>
      </c>
      <c r="C348" t="s">
        <v>680</v>
      </c>
      <c r="D348" t="s">
        <v>6</v>
      </c>
      <c r="E348">
        <v>1</v>
      </c>
      <c r="G348" s="12">
        <v>481.42</v>
      </c>
      <c r="H348" s="12">
        <f t="shared" si="16"/>
        <v>481.42</v>
      </c>
      <c r="I348" s="12">
        <f t="shared" si="17"/>
        <v>0</v>
      </c>
    </row>
    <row r="349" spans="1:9" outlineLevel="1" x14ac:dyDescent="0.25">
      <c r="A349" s="8"/>
      <c r="B349" s="8"/>
      <c r="C349" s="8" t="s">
        <v>681</v>
      </c>
      <c r="D349" s="8"/>
      <c r="E349" s="8"/>
      <c r="F349" s="8"/>
      <c r="G349" s="14"/>
      <c r="H349" s="14"/>
      <c r="I349" s="14"/>
    </row>
    <row r="350" spans="1:9" outlineLevel="1" x14ac:dyDescent="0.25">
      <c r="A350" t="s">
        <v>682</v>
      </c>
      <c r="B350" t="s">
        <v>103</v>
      </c>
      <c r="C350" t="s">
        <v>683</v>
      </c>
      <c r="D350" t="s">
        <v>6</v>
      </c>
      <c r="E350">
        <v>248</v>
      </c>
      <c r="G350" s="12">
        <v>48.56</v>
      </c>
      <c r="H350" s="12">
        <f t="shared" si="16"/>
        <v>12042.880000000001</v>
      </c>
      <c r="I350" s="12">
        <f t="shared" si="17"/>
        <v>0</v>
      </c>
    </row>
    <row r="351" spans="1:9" outlineLevel="1" x14ac:dyDescent="0.25">
      <c r="A351" t="s">
        <v>684</v>
      </c>
      <c r="B351" t="s">
        <v>103</v>
      </c>
      <c r="C351" t="s">
        <v>685</v>
      </c>
      <c r="D351" t="s">
        <v>6</v>
      </c>
      <c r="E351">
        <v>248</v>
      </c>
      <c r="G351" s="12">
        <v>35.56</v>
      </c>
      <c r="H351" s="12">
        <f t="shared" si="16"/>
        <v>8818.880000000001</v>
      </c>
      <c r="I351" s="12">
        <f t="shared" si="17"/>
        <v>0</v>
      </c>
    </row>
    <row r="352" spans="1:9" outlineLevel="1" x14ac:dyDescent="0.25">
      <c r="A352" t="s">
        <v>686</v>
      </c>
      <c r="B352" t="s">
        <v>103</v>
      </c>
      <c r="C352" t="s">
        <v>687</v>
      </c>
      <c r="D352" t="s">
        <v>6</v>
      </c>
      <c r="E352">
        <v>248</v>
      </c>
      <c r="G352" s="12">
        <v>3.99</v>
      </c>
      <c r="H352" s="12">
        <f t="shared" si="16"/>
        <v>989.5200000000001</v>
      </c>
      <c r="I352" s="12">
        <f t="shared" si="17"/>
        <v>0</v>
      </c>
    </row>
    <row r="353" spans="1:9" outlineLevel="1" x14ac:dyDescent="0.25">
      <c r="A353" t="s">
        <v>688</v>
      </c>
      <c r="B353" t="s">
        <v>103</v>
      </c>
      <c r="C353" t="s">
        <v>689</v>
      </c>
      <c r="D353" t="s">
        <v>6</v>
      </c>
      <c r="E353">
        <v>25</v>
      </c>
      <c r="G353" s="12">
        <v>0.11</v>
      </c>
      <c r="H353" s="12">
        <f t="shared" si="16"/>
        <v>2.75</v>
      </c>
      <c r="I353" s="12">
        <f t="shared" si="17"/>
        <v>0</v>
      </c>
    </row>
    <row r="354" spans="1:9" outlineLevel="1" x14ac:dyDescent="0.25">
      <c r="A354" t="s">
        <v>690</v>
      </c>
      <c r="B354" t="s">
        <v>103</v>
      </c>
      <c r="C354" t="s">
        <v>691</v>
      </c>
      <c r="D354" t="s">
        <v>6</v>
      </c>
      <c r="E354">
        <v>20</v>
      </c>
      <c r="G354" s="12">
        <v>113.77</v>
      </c>
      <c r="H354" s="12">
        <f t="shared" si="16"/>
        <v>2275.4</v>
      </c>
      <c r="I354" s="12">
        <f t="shared" si="17"/>
        <v>0</v>
      </c>
    </row>
    <row r="355" spans="1:9" outlineLevel="1" x14ac:dyDescent="0.25">
      <c r="A355" t="s">
        <v>692</v>
      </c>
      <c r="B355" t="s">
        <v>103</v>
      </c>
      <c r="C355" t="s">
        <v>693</v>
      </c>
      <c r="D355" t="s">
        <v>6</v>
      </c>
      <c r="E355">
        <v>2</v>
      </c>
      <c r="G355" s="12">
        <v>130.19</v>
      </c>
      <c r="H355" s="12">
        <f t="shared" si="16"/>
        <v>260.38</v>
      </c>
      <c r="I355" s="12">
        <f t="shared" si="17"/>
        <v>0</v>
      </c>
    </row>
    <row r="356" spans="1:9" outlineLevel="1" x14ac:dyDescent="0.25">
      <c r="A356" t="s">
        <v>694</v>
      </c>
      <c r="B356" t="s">
        <v>103</v>
      </c>
      <c r="C356" t="s">
        <v>695</v>
      </c>
      <c r="D356" t="s">
        <v>6</v>
      </c>
      <c r="E356">
        <v>1</v>
      </c>
      <c r="G356" s="12">
        <v>19.149999999999999</v>
      </c>
      <c r="H356" s="12">
        <f t="shared" si="16"/>
        <v>19.149999999999999</v>
      </c>
      <c r="I356" s="12">
        <f t="shared" si="17"/>
        <v>0</v>
      </c>
    </row>
    <row r="357" spans="1:9" outlineLevel="1" x14ac:dyDescent="0.25">
      <c r="A357" t="s">
        <v>696</v>
      </c>
      <c r="B357" t="s">
        <v>103</v>
      </c>
      <c r="C357" t="s">
        <v>697</v>
      </c>
      <c r="D357" t="s">
        <v>6</v>
      </c>
      <c r="E357">
        <v>4</v>
      </c>
      <c r="G357" s="12">
        <v>23.66</v>
      </c>
      <c r="H357" s="12">
        <f t="shared" si="16"/>
        <v>94.64</v>
      </c>
      <c r="I357" s="12">
        <f t="shared" si="17"/>
        <v>0</v>
      </c>
    </row>
    <row r="358" spans="1:9" outlineLevel="1" x14ac:dyDescent="0.25">
      <c r="A358" t="s">
        <v>698</v>
      </c>
      <c r="B358" t="s">
        <v>103</v>
      </c>
      <c r="C358" t="s">
        <v>699</v>
      </c>
      <c r="D358" t="s">
        <v>6</v>
      </c>
      <c r="E358">
        <v>20</v>
      </c>
      <c r="G358" s="12">
        <v>3.42</v>
      </c>
      <c r="H358" s="12">
        <f t="shared" si="16"/>
        <v>68.400000000000006</v>
      </c>
      <c r="I358" s="12">
        <f t="shared" si="17"/>
        <v>0</v>
      </c>
    </row>
    <row r="359" spans="1:9" outlineLevel="1" x14ac:dyDescent="0.25">
      <c r="A359" t="s">
        <v>700</v>
      </c>
      <c r="B359" t="s">
        <v>103</v>
      </c>
      <c r="C359" t="s">
        <v>701</v>
      </c>
      <c r="D359" t="s">
        <v>6</v>
      </c>
      <c r="E359">
        <v>1</v>
      </c>
      <c r="G359" s="12">
        <v>5.7</v>
      </c>
      <c r="H359" s="12">
        <f t="shared" si="16"/>
        <v>5.7</v>
      </c>
      <c r="I359" s="12">
        <f t="shared" si="17"/>
        <v>0</v>
      </c>
    </row>
    <row r="360" spans="1:9" outlineLevel="1" x14ac:dyDescent="0.25">
      <c r="A360" s="8"/>
      <c r="B360" s="8"/>
      <c r="C360" s="8" t="s">
        <v>702</v>
      </c>
      <c r="D360" s="8"/>
      <c r="E360" s="8"/>
      <c r="F360" s="8"/>
      <c r="G360" s="14"/>
      <c r="H360" s="14"/>
      <c r="I360" s="14"/>
    </row>
    <row r="361" spans="1:9" outlineLevel="1" x14ac:dyDescent="0.25">
      <c r="A361" t="s">
        <v>703</v>
      </c>
      <c r="B361" t="s">
        <v>103</v>
      </c>
      <c r="C361" t="s">
        <v>702</v>
      </c>
      <c r="D361" t="s">
        <v>6</v>
      </c>
      <c r="E361">
        <v>1</v>
      </c>
      <c r="G361" s="12">
        <v>1671.53</v>
      </c>
      <c r="H361" s="12">
        <f t="shared" si="16"/>
        <v>1671.53</v>
      </c>
      <c r="I361" s="12">
        <f t="shared" si="17"/>
        <v>0</v>
      </c>
    </row>
    <row r="362" spans="1:9" outlineLevel="1" x14ac:dyDescent="0.25">
      <c r="A362" t="s">
        <v>704</v>
      </c>
      <c r="B362" t="s">
        <v>103</v>
      </c>
      <c r="C362" t="s">
        <v>705</v>
      </c>
      <c r="D362" t="s">
        <v>6</v>
      </c>
      <c r="E362">
        <v>1</v>
      </c>
      <c r="G362" s="12">
        <v>17.100000000000001</v>
      </c>
      <c r="H362" s="12">
        <f t="shared" ref="H362:H425" si="18">SUM(E362*G362)</f>
        <v>17.100000000000001</v>
      </c>
      <c r="I362" s="12">
        <f t="shared" ref="I362:I425" si="19">G362*F362</f>
        <v>0</v>
      </c>
    </row>
    <row r="363" spans="1:9" outlineLevel="1" x14ac:dyDescent="0.25">
      <c r="A363" t="s">
        <v>706</v>
      </c>
      <c r="B363" t="s">
        <v>103</v>
      </c>
      <c r="C363" t="s">
        <v>687</v>
      </c>
      <c r="D363" t="s">
        <v>6</v>
      </c>
      <c r="E363">
        <v>1</v>
      </c>
      <c r="G363" s="12">
        <v>5.47</v>
      </c>
      <c r="H363" s="12">
        <f t="shared" si="18"/>
        <v>5.47</v>
      </c>
      <c r="I363" s="12">
        <f t="shared" si="19"/>
        <v>0</v>
      </c>
    </row>
    <row r="364" spans="1:9" outlineLevel="1" x14ac:dyDescent="0.25">
      <c r="A364" t="s">
        <v>707</v>
      </c>
      <c r="B364" t="s">
        <v>103</v>
      </c>
      <c r="C364" t="s">
        <v>708</v>
      </c>
      <c r="D364" t="s">
        <v>6</v>
      </c>
      <c r="E364">
        <v>1</v>
      </c>
      <c r="G364" s="12">
        <v>217.97</v>
      </c>
      <c r="H364" s="12">
        <f t="shared" si="18"/>
        <v>217.97</v>
      </c>
      <c r="I364" s="12">
        <f t="shared" si="19"/>
        <v>0</v>
      </c>
    </row>
    <row r="365" spans="1:9" outlineLevel="1" x14ac:dyDescent="0.25">
      <c r="A365" t="s">
        <v>709</v>
      </c>
      <c r="B365" t="s">
        <v>103</v>
      </c>
      <c r="C365" t="s">
        <v>710</v>
      </c>
      <c r="D365" t="s">
        <v>6</v>
      </c>
      <c r="E365">
        <v>4</v>
      </c>
      <c r="G365" s="12">
        <v>24.17</v>
      </c>
      <c r="H365" s="12">
        <f t="shared" si="18"/>
        <v>96.68</v>
      </c>
      <c r="I365" s="12">
        <f t="shared" si="19"/>
        <v>0</v>
      </c>
    </row>
    <row r="366" spans="1:9" outlineLevel="1" x14ac:dyDescent="0.25">
      <c r="A366" t="s">
        <v>711</v>
      </c>
      <c r="B366" t="s">
        <v>103</v>
      </c>
      <c r="C366" t="s">
        <v>712</v>
      </c>
      <c r="D366" t="s">
        <v>6</v>
      </c>
      <c r="E366">
        <v>1</v>
      </c>
      <c r="G366" s="12">
        <v>7.18</v>
      </c>
      <c r="H366" s="12">
        <f t="shared" si="18"/>
        <v>7.18</v>
      </c>
      <c r="I366" s="12">
        <f t="shared" si="19"/>
        <v>0</v>
      </c>
    </row>
    <row r="367" spans="1:9" outlineLevel="1" x14ac:dyDescent="0.25">
      <c r="A367" t="s">
        <v>713</v>
      </c>
      <c r="B367" t="s">
        <v>103</v>
      </c>
      <c r="C367" t="s">
        <v>714</v>
      </c>
      <c r="D367" t="s">
        <v>6</v>
      </c>
      <c r="E367">
        <v>3</v>
      </c>
      <c r="G367" s="12">
        <v>16.190000000000001</v>
      </c>
      <c r="H367" s="12">
        <f t="shared" si="18"/>
        <v>48.570000000000007</v>
      </c>
      <c r="I367" s="12">
        <f t="shared" si="19"/>
        <v>0</v>
      </c>
    </row>
    <row r="368" spans="1:9" outlineLevel="1" x14ac:dyDescent="0.25">
      <c r="A368" t="s">
        <v>715</v>
      </c>
      <c r="B368" t="s">
        <v>103</v>
      </c>
      <c r="C368" t="s">
        <v>716</v>
      </c>
      <c r="D368" t="s">
        <v>6</v>
      </c>
      <c r="E368">
        <v>1</v>
      </c>
      <c r="G368" s="12">
        <v>42.52</v>
      </c>
      <c r="H368" s="12">
        <f t="shared" si="18"/>
        <v>42.52</v>
      </c>
      <c r="I368" s="12">
        <f t="shared" si="19"/>
        <v>0</v>
      </c>
    </row>
    <row r="369" spans="1:9" outlineLevel="1" x14ac:dyDescent="0.25">
      <c r="A369" t="s">
        <v>717</v>
      </c>
      <c r="B369" t="s">
        <v>103</v>
      </c>
      <c r="C369" t="s">
        <v>718</v>
      </c>
      <c r="D369" t="s">
        <v>6</v>
      </c>
      <c r="E369">
        <v>1</v>
      </c>
      <c r="G369" s="12">
        <v>40.24</v>
      </c>
      <c r="H369" s="12">
        <f t="shared" si="18"/>
        <v>40.24</v>
      </c>
      <c r="I369" s="12">
        <f t="shared" si="19"/>
        <v>0</v>
      </c>
    </row>
    <row r="370" spans="1:9" outlineLevel="1" x14ac:dyDescent="0.25">
      <c r="A370" t="s">
        <v>719</v>
      </c>
      <c r="B370" t="s">
        <v>103</v>
      </c>
      <c r="C370" t="s">
        <v>720</v>
      </c>
      <c r="D370" t="s">
        <v>6</v>
      </c>
      <c r="E370">
        <v>1</v>
      </c>
      <c r="G370" s="12">
        <v>90.74</v>
      </c>
      <c r="H370" s="12">
        <f t="shared" si="18"/>
        <v>90.74</v>
      </c>
      <c r="I370" s="12">
        <f t="shared" si="19"/>
        <v>0</v>
      </c>
    </row>
    <row r="371" spans="1:9" outlineLevel="1" x14ac:dyDescent="0.25">
      <c r="A371" t="s">
        <v>721</v>
      </c>
      <c r="B371" t="s">
        <v>103</v>
      </c>
      <c r="C371" t="s">
        <v>722</v>
      </c>
      <c r="D371" t="s">
        <v>6</v>
      </c>
      <c r="E371">
        <v>1</v>
      </c>
      <c r="G371" s="12">
        <v>51.53</v>
      </c>
      <c r="H371" s="12">
        <f t="shared" si="18"/>
        <v>51.53</v>
      </c>
      <c r="I371" s="12">
        <f t="shared" si="19"/>
        <v>0</v>
      </c>
    </row>
    <row r="372" spans="1:9" outlineLevel="1" x14ac:dyDescent="0.25">
      <c r="A372" t="s">
        <v>723</v>
      </c>
      <c r="B372" t="s">
        <v>103</v>
      </c>
      <c r="C372" t="s">
        <v>724</v>
      </c>
      <c r="D372" t="s">
        <v>6</v>
      </c>
      <c r="E372">
        <v>1</v>
      </c>
      <c r="G372" s="12">
        <v>75.58</v>
      </c>
      <c r="H372" s="12">
        <f t="shared" si="18"/>
        <v>75.58</v>
      </c>
      <c r="I372" s="12">
        <f t="shared" si="19"/>
        <v>0</v>
      </c>
    </row>
    <row r="373" spans="1:9" outlineLevel="1" x14ac:dyDescent="0.25">
      <c r="A373" t="s">
        <v>725</v>
      </c>
      <c r="B373" t="s">
        <v>103</v>
      </c>
      <c r="C373" t="s">
        <v>726</v>
      </c>
      <c r="D373" t="s">
        <v>6</v>
      </c>
      <c r="E373">
        <v>1</v>
      </c>
      <c r="G373" s="12">
        <v>96.22</v>
      </c>
      <c r="H373" s="12">
        <f t="shared" si="18"/>
        <v>96.22</v>
      </c>
      <c r="I373" s="12">
        <f t="shared" si="19"/>
        <v>0</v>
      </c>
    </row>
    <row r="374" spans="1:9" outlineLevel="1" x14ac:dyDescent="0.25">
      <c r="A374" t="s">
        <v>727</v>
      </c>
      <c r="B374" t="s">
        <v>103</v>
      </c>
      <c r="C374" t="s">
        <v>728</v>
      </c>
      <c r="D374" t="s">
        <v>6</v>
      </c>
      <c r="E374">
        <v>1</v>
      </c>
      <c r="G374" s="12">
        <v>101</v>
      </c>
      <c r="H374" s="12">
        <f t="shared" si="18"/>
        <v>101</v>
      </c>
      <c r="I374" s="12">
        <f t="shared" si="19"/>
        <v>0</v>
      </c>
    </row>
    <row r="375" spans="1:9" outlineLevel="1" x14ac:dyDescent="0.25">
      <c r="A375" s="8"/>
      <c r="B375" s="8"/>
      <c r="C375" s="8" t="s">
        <v>729</v>
      </c>
      <c r="D375" s="8"/>
      <c r="E375" s="8"/>
      <c r="F375" s="8"/>
      <c r="G375" s="14"/>
      <c r="H375" s="14"/>
      <c r="I375" s="14"/>
    </row>
    <row r="376" spans="1:9" outlineLevel="1" x14ac:dyDescent="0.25">
      <c r="A376" t="s">
        <v>730</v>
      </c>
      <c r="B376" t="s">
        <v>103</v>
      </c>
      <c r="C376" t="s">
        <v>731</v>
      </c>
      <c r="D376" t="s">
        <v>6</v>
      </c>
      <c r="E376">
        <v>15</v>
      </c>
      <c r="G376" s="12">
        <v>72.73</v>
      </c>
      <c r="H376" s="12">
        <f t="shared" si="18"/>
        <v>1090.95</v>
      </c>
      <c r="I376" s="12">
        <f t="shared" si="19"/>
        <v>0</v>
      </c>
    </row>
    <row r="377" spans="1:9" outlineLevel="1" x14ac:dyDescent="0.25">
      <c r="A377" t="s">
        <v>732</v>
      </c>
      <c r="B377" t="s">
        <v>103</v>
      </c>
      <c r="C377" t="s">
        <v>733</v>
      </c>
      <c r="D377" t="s">
        <v>6</v>
      </c>
      <c r="E377">
        <v>90</v>
      </c>
      <c r="G377" s="12">
        <v>75.92</v>
      </c>
      <c r="H377" s="12">
        <f t="shared" si="18"/>
        <v>6832.8</v>
      </c>
      <c r="I377" s="12">
        <f t="shared" si="19"/>
        <v>0</v>
      </c>
    </row>
    <row r="378" spans="1:9" outlineLevel="1" x14ac:dyDescent="0.25">
      <c r="A378" t="s">
        <v>734</v>
      </c>
      <c r="B378" t="s">
        <v>103</v>
      </c>
      <c r="C378" t="s">
        <v>735</v>
      </c>
      <c r="D378" t="s">
        <v>6</v>
      </c>
      <c r="E378">
        <v>4</v>
      </c>
      <c r="G378" s="12">
        <v>641.02</v>
      </c>
      <c r="H378" s="12">
        <f t="shared" si="18"/>
        <v>2564.08</v>
      </c>
      <c r="I378" s="12">
        <f t="shared" si="19"/>
        <v>0</v>
      </c>
    </row>
    <row r="379" spans="1:9" outlineLevel="1" x14ac:dyDescent="0.25">
      <c r="A379" t="s">
        <v>736</v>
      </c>
      <c r="B379" t="s">
        <v>103</v>
      </c>
      <c r="C379" t="s">
        <v>667</v>
      </c>
      <c r="D379" t="s">
        <v>6</v>
      </c>
      <c r="E379">
        <v>8</v>
      </c>
      <c r="G379" s="12">
        <v>32.6</v>
      </c>
      <c r="H379" s="12">
        <f t="shared" si="18"/>
        <v>260.8</v>
      </c>
      <c r="I379" s="12">
        <f t="shared" si="19"/>
        <v>0</v>
      </c>
    </row>
    <row r="380" spans="1:9" outlineLevel="1" x14ac:dyDescent="0.25">
      <c r="A380" t="s">
        <v>737</v>
      </c>
      <c r="B380" t="s">
        <v>103</v>
      </c>
      <c r="C380" t="s">
        <v>738</v>
      </c>
      <c r="D380" t="s">
        <v>6</v>
      </c>
      <c r="E380">
        <v>4</v>
      </c>
      <c r="G380" s="12">
        <v>9.35</v>
      </c>
      <c r="H380" s="12">
        <f t="shared" si="18"/>
        <v>37.4</v>
      </c>
      <c r="I380" s="12">
        <f t="shared" si="19"/>
        <v>0</v>
      </c>
    </row>
    <row r="381" spans="1:9" outlineLevel="1" x14ac:dyDescent="0.25">
      <c r="A381" s="8"/>
      <c r="B381" s="8"/>
      <c r="C381" s="8" t="s">
        <v>739</v>
      </c>
      <c r="D381" s="8"/>
      <c r="E381" s="8"/>
      <c r="F381" s="8"/>
      <c r="G381" s="14"/>
      <c r="H381" s="14"/>
      <c r="I381" s="14"/>
    </row>
    <row r="382" spans="1:9" outlineLevel="1" x14ac:dyDescent="0.25">
      <c r="A382" t="s">
        <v>740</v>
      </c>
      <c r="B382" t="s">
        <v>103</v>
      </c>
      <c r="C382" t="s">
        <v>741</v>
      </c>
      <c r="D382" t="s">
        <v>6</v>
      </c>
      <c r="E382">
        <v>1</v>
      </c>
      <c r="G382" s="12">
        <v>95.3</v>
      </c>
      <c r="H382" s="12">
        <f t="shared" si="18"/>
        <v>95.3</v>
      </c>
      <c r="I382" s="12">
        <f t="shared" si="19"/>
        <v>0</v>
      </c>
    </row>
    <row r="383" spans="1:9" outlineLevel="1" x14ac:dyDescent="0.25">
      <c r="A383" t="s">
        <v>742</v>
      </c>
      <c r="B383" t="s">
        <v>103</v>
      </c>
      <c r="C383" t="s">
        <v>743</v>
      </c>
      <c r="D383" t="s">
        <v>6</v>
      </c>
      <c r="E383">
        <v>1</v>
      </c>
      <c r="G383" s="12">
        <v>77.239999999999995</v>
      </c>
      <c r="H383" s="12">
        <f t="shared" si="18"/>
        <v>77.239999999999995</v>
      </c>
      <c r="I383" s="12">
        <f t="shared" si="19"/>
        <v>0</v>
      </c>
    </row>
    <row r="384" spans="1:9" outlineLevel="1" x14ac:dyDescent="0.25">
      <c r="A384" s="8"/>
      <c r="B384" s="8"/>
      <c r="C384" s="8" t="s">
        <v>744</v>
      </c>
      <c r="D384" s="8"/>
      <c r="E384" s="8"/>
      <c r="F384" s="8"/>
      <c r="G384" s="14"/>
      <c r="H384" s="14"/>
      <c r="I384" s="14"/>
    </row>
    <row r="385" spans="1:9" outlineLevel="1" x14ac:dyDescent="0.25">
      <c r="A385" t="s">
        <v>745</v>
      </c>
      <c r="B385" t="s">
        <v>103</v>
      </c>
      <c r="C385" t="s">
        <v>746</v>
      </c>
      <c r="D385" t="s">
        <v>6</v>
      </c>
      <c r="E385">
        <v>38</v>
      </c>
      <c r="G385" s="12">
        <v>45.49</v>
      </c>
      <c r="H385" s="12">
        <f t="shared" si="18"/>
        <v>1728.6200000000001</v>
      </c>
      <c r="I385" s="12">
        <f t="shared" si="19"/>
        <v>0</v>
      </c>
    </row>
    <row r="386" spans="1:9" outlineLevel="1" x14ac:dyDescent="0.25">
      <c r="A386" t="s">
        <v>747</v>
      </c>
      <c r="B386" t="s">
        <v>103</v>
      </c>
      <c r="C386" t="s">
        <v>748</v>
      </c>
      <c r="D386" t="s">
        <v>6</v>
      </c>
      <c r="E386">
        <v>1</v>
      </c>
      <c r="G386" s="12">
        <v>2138.98</v>
      </c>
      <c r="H386" s="12">
        <f t="shared" si="18"/>
        <v>2138.98</v>
      </c>
      <c r="I386" s="12">
        <f t="shared" si="19"/>
        <v>0</v>
      </c>
    </row>
    <row r="387" spans="1:9" outlineLevel="1" x14ac:dyDescent="0.25">
      <c r="A387" t="s">
        <v>749</v>
      </c>
      <c r="B387" t="s">
        <v>103</v>
      </c>
      <c r="C387" t="s">
        <v>750</v>
      </c>
      <c r="D387" t="s">
        <v>6</v>
      </c>
      <c r="E387">
        <v>1</v>
      </c>
      <c r="G387" s="12">
        <v>1736.56</v>
      </c>
      <c r="H387" s="12">
        <f t="shared" si="18"/>
        <v>1736.56</v>
      </c>
      <c r="I387" s="12">
        <f t="shared" si="19"/>
        <v>0</v>
      </c>
    </row>
    <row r="388" spans="1:9" outlineLevel="1" x14ac:dyDescent="0.25">
      <c r="A388" t="s">
        <v>751</v>
      </c>
      <c r="B388" t="s">
        <v>103</v>
      </c>
      <c r="C388" t="s">
        <v>752</v>
      </c>
      <c r="D388" t="s">
        <v>6</v>
      </c>
      <c r="E388">
        <v>1</v>
      </c>
      <c r="G388" s="12">
        <v>1429.9</v>
      </c>
      <c r="H388" s="12">
        <f t="shared" si="18"/>
        <v>1429.9</v>
      </c>
      <c r="I388" s="12">
        <f t="shared" si="19"/>
        <v>0</v>
      </c>
    </row>
    <row r="389" spans="1:9" outlineLevel="1" x14ac:dyDescent="0.25">
      <c r="A389" t="s">
        <v>753</v>
      </c>
      <c r="B389" t="s">
        <v>103</v>
      </c>
      <c r="C389" t="s">
        <v>754</v>
      </c>
      <c r="D389" t="s">
        <v>6</v>
      </c>
      <c r="E389">
        <v>1</v>
      </c>
      <c r="G389" s="12">
        <v>340</v>
      </c>
      <c r="H389" s="12">
        <f t="shared" si="18"/>
        <v>340</v>
      </c>
      <c r="I389" s="12">
        <f t="shared" si="19"/>
        <v>0</v>
      </c>
    </row>
    <row r="390" spans="1:9" outlineLevel="1" x14ac:dyDescent="0.25">
      <c r="A390" t="s">
        <v>755</v>
      </c>
      <c r="B390" t="s">
        <v>103</v>
      </c>
      <c r="C390" t="s">
        <v>756</v>
      </c>
      <c r="D390" t="s">
        <v>6</v>
      </c>
      <c r="E390">
        <v>1</v>
      </c>
      <c r="G390" s="12">
        <v>124.6</v>
      </c>
      <c r="H390" s="12">
        <f t="shared" si="18"/>
        <v>124.6</v>
      </c>
      <c r="I390" s="12">
        <f t="shared" si="19"/>
        <v>0</v>
      </c>
    </row>
    <row r="391" spans="1:9" outlineLevel="1" x14ac:dyDescent="0.25">
      <c r="A391" t="s">
        <v>757</v>
      </c>
      <c r="B391" t="s">
        <v>103</v>
      </c>
      <c r="C391" t="s">
        <v>758</v>
      </c>
      <c r="D391" t="s">
        <v>6</v>
      </c>
      <c r="E391">
        <v>1</v>
      </c>
      <c r="G391" s="12">
        <v>164.5</v>
      </c>
      <c r="H391" s="12">
        <f t="shared" si="18"/>
        <v>164.5</v>
      </c>
      <c r="I391" s="12">
        <f t="shared" si="19"/>
        <v>0</v>
      </c>
    </row>
    <row r="392" spans="1:9" outlineLevel="1" x14ac:dyDescent="0.25">
      <c r="A392" t="s">
        <v>759</v>
      </c>
      <c r="B392" t="s">
        <v>103</v>
      </c>
      <c r="C392" t="s">
        <v>760</v>
      </c>
      <c r="D392" t="s">
        <v>6</v>
      </c>
      <c r="E392">
        <v>1</v>
      </c>
      <c r="G392" s="12">
        <v>313.39</v>
      </c>
      <c r="H392" s="12">
        <f t="shared" si="18"/>
        <v>313.39</v>
      </c>
      <c r="I392" s="12">
        <f t="shared" si="19"/>
        <v>0</v>
      </c>
    </row>
    <row r="393" spans="1:9" outlineLevel="1" x14ac:dyDescent="0.25">
      <c r="A393" t="s">
        <v>761</v>
      </c>
      <c r="B393" t="s">
        <v>103</v>
      </c>
      <c r="C393" t="s">
        <v>762</v>
      </c>
      <c r="D393" t="s">
        <v>6</v>
      </c>
      <c r="E393">
        <v>1</v>
      </c>
      <c r="G393" s="12">
        <v>215</v>
      </c>
      <c r="H393" s="12">
        <f t="shared" si="18"/>
        <v>215</v>
      </c>
      <c r="I393" s="12">
        <f t="shared" si="19"/>
        <v>0</v>
      </c>
    </row>
    <row r="394" spans="1:9" outlineLevel="1" x14ac:dyDescent="0.25">
      <c r="A394" t="s">
        <v>763</v>
      </c>
      <c r="B394" t="s">
        <v>103</v>
      </c>
      <c r="C394" t="s">
        <v>764</v>
      </c>
      <c r="D394" t="s">
        <v>6</v>
      </c>
      <c r="E394">
        <v>1</v>
      </c>
      <c r="G394" s="12">
        <v>166.78</v>
      </c>
      <c r="H394" s="12">
        <f t="shared" si="18"/>
        <v>166.78</v>
      </c>
      <c r="I394" s="12">
        <f t="shared" si="19"/>
        <v>0</v>
      </c>
    </row>
    <row r="395" spans="1:9" outlineLevel="1" x14ac:dyDescent="0.25">
      <c r="A395" t="s">
        <v>765</v>
      </c>
      <c r="B395" t="s">
        <v>103</v>
      </c>
      <c r="C395" t="s">
        <v>766</v>
      </c>
      <c r="D395" t="s">
        <v>6</v>
      </c>
      <c r="E395">
        <v>1</v>
      </c>
      <c r="G395" s="12">
        <v>319.77</v>
      </c>
      <c r="H395" s="12">
        <f t="shared" si="18"/>
        <v>319.77</v>
      </c>
      <c r="I395" s="12">
        <f t="shared" si="19"/>
        <v>0</v>
      </c>
    </row>
    <row r="396" spans="1:9" outlineLevel="1" x14ac:dyDescent="0.25">
      <c r="A396" t="s">
        <v>767</v>
      </c>
      <c r="B396" t="s">
        <v>103</v>
      </c>
      <c r="C396" t="s">
        <v>768</v>
      </c>
      <c r="D396" t="s">
        <v>6</v>
      </c>
      <c r="E396">
        <v>1</v>
      </c>
      <c r="G396" s="12">
        <v>88.69</v>
      </c>
      <c r="H396" s="12">
        <f t="shared" si="18"/>
        <v>88.69</v>
      </c>
      <c r="I396" s="12">
        <f t="shared" si="19"/>
        <v>0</v>
      </c>
    </row>
    <row r="397" spans="1:9" outlineLevel="1" x14ac:dyDescent="0.25">
      <c r="A397" t="s">
        <v>769</v>
      </c>
      <c r="B397" t="s">
        <v>103</v>
      </c>
      <c r="C397" t="s">
        <v>743</v>
      </c>
      <c r="D397" t="s">
        <v>6</v>
      </c>
      <c r="E397">
        <v>1</v>
      </c>
      <c r="G397" s="12">
        <v>32.03</v>
      </c>
      <c r="H397" s="12">
        <f t="shared" si="18"/>
        <v>32.03</v>
      </c>
      <c r="I397" s="12">
        <f t="shared" si="19"/>
        <v>0</v>
      </c>
    </row>
    <row r="398" spans="1:9" outlineLevel="1" x14ac:dyDescent="0.25">
      <c r="A398" t="s">
        <v>770</v>
      </c>
      <c r="B398" t="s">
        <v>103</v>
      </c>
      <c r="C398" t="s">
        <v>771</v>
      </c>
      <c r="D398" t="s">
        <v>6</v>
      </c>
      <c r="E398">
        <v>1</v>
      </c>
      <c r="G398" s="12">
        <v>186.39</v>
      </c>
      <c r="H398" s="12">
        <f t="shared" si="18"/>
        <v>186.39</v>
      </c>
      <c r="I398" s="12">
        <f t="shared" si="19"/>
        <v>0</v>
      </c>
    </row>
    <row r="399" spans="1:9" outlineLevel="1" x14ac:dyDescent="0.25">
      <c r="A399" t="s">
        <v>772</v>
      </c>
      <c r="B399" t="s">
        <v>103</v>
      </c>
      <c r="C399" t="s">
        <v>773</v>
      </c>
      <c r="D399" t="s">
        <v>6</v>
      </c>
      <c r="E399">
        <v>1</v>
      </c>
      <c r="G399" s="12">
        <v>969</v>
      </c>
      <c r="H399" s="12">
        <f t="shared" si="18"/>
        <v>969</v>
      </c>
      <c r="I399" s="12">
        <f t="shared" si="19"/>
        <v>0</v>
      </c>
    </row>
    <row r="400" spans="1:9" outlineLevel="1" x14ac:dyDescent="0.25">
      <c r="A400" s="8"/>
      <c r="B400" s="8"/>
      <c r="C400" s="8" t="s">
        <v>774</v>
      </c>
      <c r="D400" s="8"/>
      <c r="E400" s="8"/>
      <c r="F400" s="8"/>
      <c r="G400" s="14"/>
      <c r="H400" s="14"/>
      <c r="I400" s="14"/>
    </row>
    <row r="401" spans="1:9" outlineLevel="1" x14ac:dyDescent="0.25">
      <c r="A401" t="s">
        <v>775</v>
      </c>
      <c r="B401" t="s">
        <v>103</v>
      </c>
      <c r="C401" t="s">
        <v>776</v>
      </c>
      <c r="D401" t="s">
        <v>6</v>
      </c>
      <c r="E401">
        <v>1</v>
      </c>
      <c r="G401" s="12">
        <v>5112</v>
      </c>
      <c r="H401" s="12">
        <f t="shared" si="18"/>
        <v>5112</v>
      </c>
      <c r="I401" s="12">
        <f t="shared" si="19"/>
        <v>0</v>
      </c>
    </row>
    <row r="402" spans="1:9" outlineLevel="1" x14ac:dyDescent="0.25">
      <c r="A402" s="8"/>
      <c r="B402" s="8"/>
      <c r="C402" s="8" t="s">
        <v>132</v>
      </c>
      <c r="D402" s="8"/>
      <c r="E402" s="8"/>
      <c r="F402" s="8"/>
      <c r="G402" s="14"/>
      <c r="H402" s="14"/>
      <c r="I402" s="14"/>
    </row>
    <row r="403" spans="1:9" outlineLevel="1" x14ac:dyDescent="0.25">
      <c r="A403" t="s">
        <v>777</v>
      </c>
      <c r="B403" t="s">
        <v>103</v>
      </c>
      <c r="C403" t="s">
        <v>778</v>
      </c>
      <c r="D403" t="s">
        <v>6</v>
      </c>
      <c r="E403">
        <v>1</v>
      </c>
      <c r="G403" s="12">
        <v>560</v>
      </c>
      <c r="H403" s="12">
        <f t="shared" si="18"/>
        <v>560</v>
      </c>
      <c r="I403" s="12">
        <f t="shared" si="19"/>
        <v>0</v>
      </c>
    </row>
    <row r="404" spans="1:9" outlineLevel="1" x14ac:dyDescent="0.25">
      <c r="A404" t="s">
        <v>779</v>
      </c>
      <c r="B404" t="s">
        <v>103</v>
      </c>
      <c r="C404" t="s">
        <v>780</v>
      </c>
      <c r="D404" t="s">
        <v>6</v>
      </c>
      <c r="E404">
        <v>1</v>
      </c>
      <c r="G404" s="12">
        <v>896</v>
      </c>
      <c r="H404" s="12">
        <f t="shared" si="18"/>
        <v>896</v>
      </c>
      <c r="I404" s="12">
        <f t="shared" si="19"/>
        <v>0</v>
      </c>
    </row>
    <row r="405" spans="1:9" outlineLevel="1" x14ac:dyDescent="0.25">
      <c r="A405" t="s">
        <v>781</v>
      </c>
      <c r="B405" t="s">
        <v>103</v>
      </c>
      <c r="C405" t="s">
        <v>782</v>
      </c>
      <c r="D405" t="s">
        <v>6</v>
      </c>
      <c r="E405">
        <v>1</v>
      </c>
      <c r="G405" s="12">
        <v>280</v>
      </c>
      <c r="H405" s="12">
        <f t="shared" si="18"/>
        <v>280</v>
      </c>
      <c r="I405" s="12">
        <f t="shared" si="19"/>
        <v>0</v>
      </c>
    </row>
    <row r="406" spans="1:9" outlineLevel="1" x14ac:dyDescent="0.25">
      <c r="A406" t="s">
        <v>783</v>
      </c>
      <c r="B406" t="s">
        <v>103</v>
      </c>
      <c r="C406" t="s">
        <v>784</v>
      </c>
      <c r="D406" t="s">
        <v>6</v>
      </c>
      <c r="E406">
        <v>1</v>
      </c>
      <c r="G406" s="12">
        <v>672</v>
      </c>
      <c r="H406" s="12">
        <f t="shared" si="18"/>
        <v>672</v>
      </c>
      <c r="I406" s="12">
        <f t="shared" si="19"/>
        <v>0</v>
      </c>
    </row>
    <row r="407" spans="1:9" outlineLevel="1" x14ac:dyDescent="0.25">
      <c r="A407" t="s">
        <v>785</v>
      </c>
      <c r="B407" t="s">
        <v>103</v>
      </c>
      <c r="C407" t="s">
        <v>786</v>
      </c>
      <c r="D407" t="s">
        <v>6</v>
      </c>
      <c r="E407">
        <v>1</v>
      </c>
      <c r="G407" s="12">
        <v>280</v>
      </c>
      <c r="H407" s="12">
        <f t="shared" si="18"/>
        <v>280</v>
      </c>
      <c r="I407" s="12">
        <f t="shared" si="19"/>
        <v>0</v>
      </c>
    </row>
    <row r="408" spans="1:9" outlineLevel="1" x14ac:dyDescent="0.25">
      <c r="A408" t="s">
        <v>787</v>
      </c>
      <c r="B408" t="s">
        <v>103</v>
      </c>
      <c r="C408" t="s">
        <v>788</v>
      </c>
      <c r="D408" t="s">
        <v>6</v>
      </c>
      <c r="E408">
        <v>1</v>
      </c>
      <c r="G408" s="12">
        <v>504</v>
      </c>
      <c r="H408" s="12">
        <f t="shared" si="18"/>
        <v>504</v>
      </c>
      <c r="I408" s="12">
        <f t="shared" si="19"/>
        <v>0</v>
      </c>
    </row>
    <row r="409" spans="1:9" outlineLevel="1" x14ac:dyDescent="0.25">
      <c r="A409" s="8" t="s">
        <v>789</v>
      </c>
      <c r="B409" s="8"/>
      <c r="C409" s="8" t="s">
        <v>790</v>
      </c>
      <c r="D409" s="8"/>
      <c r="E409" s="8"/>
      <c r="F409" s="8"/>
      <c r="G409" s="14"/>
      <c r="H409" s="14"/>
      <c r="I409" s="14"/>
    </row>
    <row r="410" spans="1:9" outlineLevel="1" x14ac:dyDescent="0.25">
      <c r="A410" s="8" t="s">
        <v>791</v>
      </c>
      <c r="B410" s="8"/>
      <c r="C410" s="8" t="s">
        <v>792</v>
      </c>
      <c r="D410" s="8"/>
      <c r="E410" s="8"/>
      <c r="F410" s="8"/>
      <c r="G410" s="14"/>
      <c r="H410" s="14"/>
      <c r="I410" s="14"/>
    </row>
    <row r="411" spans="1:9" outlineLevel="1" x14ac:dyDescent="0.25">
      <c r="A411" s="8"/>
      <c r="B411" s="8"/>
      <c r="C411" s="8"/>
      <c r="D411" s="8"/>
      <c r="E411" s="8"/>
      <c r="F411" s="8"/>
      <c r="G411" s="14"/>
      <c r="H411" s="14"/>
      <c r="I411" s="14"/>
    </row>
    <row r="412" spans="1:9" outlineLevel="1" x14ac:dyDescent="0.25">
      <c r="A412" t="s">
        <v>793</v>
      </c>
      <c r="B412" t="s">
        <v>103</v>
      </c>
      <c r="C412" t="s">
        <v>794</v>
      </c>
      <c r="D412" t="s">
        <v>0</v>
      </c>
      <c r="E412">
        <v>20</v>
      </c>
      <c r="G412" s="12">
        <v>3.23</v>
      </c>
      <c r="H412" s="12">
        <f t="shared" si="18"/>
        <v>64.599999999999994</v>
      </c>
      <c r="I412" s="12">
        <f t="shared" si="19"/>
        <v>0</v>
      </c>
    </row>
    <row r="413" spans="1:9" outlineLevel="1" x14ac:dyDescent="0.25">
      <c r="A413" t="s">
        <v>795</v>
      </c>
      <c r="B413" t="s">
        <v>103</v>
      </c>
      <c r="C413" t="s">
        <v>796</v>
      </c>
      <c r="D413" t="s">
        <v>0</v>
      </c>
      <c r="E413">
        <v>10</v>
      </c>
      <c r="G413" s="12">
        <v>3.23</v>
      </c>
      <c r="H413" s="12">
        <f t="shared" si="18"/>
        <v>32.299999999999997</v>
      </c>
      <c r="I413" s="12">
        <f t="shared" si="19"/>
        <v>0</v>
      </c>
    </row>
    <row r="414" spans="1:9" outlineLevel="1" x14ac:dyDescent="0.25">
      <c r="A414" t="s">
        <v>797</v>
      </c>
      <c r="B414" t="s">
        <v>103</v>
      </c>
      <c r="C414" t="s">
        <v>798</v>
      </c>
      <c r="D414" t="s">
        <v>0</v>
      </c>
      <c r="E414">
        <v>10</v>
      </c>
      <c r="G414" s="12">
        <v>3.23</v>
      </c>
      <c r="H414" s="12">
        <f t="shared" si="18"/>
        <v>32.299999999999997</v>
      </c>
      <c r="I414" s="12">
        <f t="shared" si="19"/>
        <v>0</v>
      </c>
    </row>
    <row r="415" spans="1:9" outlineLevel="1" x14ac:dyDescent="0.25">
      <c r="A415" t="s">
        <v>799</v>
      </c>
      <c r="B415" t="s">
        <v>103</v>
      </c>
      <c r="C415" t="s">
        <v>800</v>
      </c>
      <c r="D415" t="s">
        <v>0</v>
      </c>
      <c r="E415">
        <v>10</v>
      </c>
      <c r="G415" s="12">
        <v>3.77</v>
      </c>
      <c r="H415" s="12">
        <f t="shared" si="18"/>
        <v>37.700000000000003</v>
      </c>
      <c r="I415" s="12">
        <f t="shared" si="19"/>
        <v>0</v>
      </c>
    </row>
    <row r="416" spans="1:9" outlineLevel="1" x14ac:dyDescent="0.25">
      <c r="A416" t="s">
        <v>801</v>
      </c>
      <c r="B416" t="s">
        <v>103</v>
      </c>
      <c r="C416" t="s">
        <v>802</v>
      </c>
      <c r="D416" t="s">
        <v>0</v>
      </c>
      <c r="E416">
        <v>100</v>
      </c>
      <c r="G416" s="12">
        <v>3.46</v>
      </c>
      <c r="H416" s="12">
        <f t="shared" si="18"/>
        <v>346</v>
      </c>
      <c r="I416" s="12">
        <f t="shared" si="19"/>
        <v>0</v>
      </c>
    </row>
    <row r="417" spans="1:9" outlineLevel="1" x14ac:dyDescent="0.25">
      <c r="A417" t="s">
        <v>803</v>
      </c>
      <c r="B417" t="s">
        <v>103</v>
      </c>
      <c r="C417" t="s">
        <v>804</v>
      </c>
      <c r="D417" t="s">
        <v>0</v>
      </c>
      <c r="E417">
        <v>300</v>
      </c>
      <c r="G417" s="12">
        <v>3.46</v>
      </c>
      <c r="H417" s="12">
        <f t="shared" si="18"/>
        <v>1038</v>
      </c>
      <c r="I417" s="12">
        <f t="shared" si="19"/>
        <v>0</v>
      </c>
    </row>
    <row r="418" spans="1:9" outlineLevel="1" x14ac:dyDescent="0.25">
      <c r="A418" t="s">
        <v>805</v>
      </c>
      <c r="B418" t="s">
        <v>103</v>
      </c>
      <c r="C418" t="s">
        <v>806</v>
      </c>
      <c r="D418" t="s">
        <v>0</v>
      </c>
      <c r="E418">
        <v>300</v>
      </c>
      <c r="G418" s="12">
        <v>3.46</v>
      </c>
      <c r="H418" s="12">
        <f t="shared" si="18"/>
        <v>1038</v>
      </c>
      <c r="I418" s="12">
        <f t="shared" si="19"/>
        <v>0</v>
      </c>
    </row>
    <row r="419" spans="1:9" outlineLevel="1" x14ac:dyDescent="0.25">
      <c r="A419" t="s">
        <v>807</v>
      </c>
      <c r="B419" t="s">
        <v>103</v>
      </c>
      <c r="C419" t="s">
        <v>808</v>
      </c>
      <c r="D419" t="s">
        <v>0</v>
      </c>
      <c r="E419">
        <v>100</v>
      </c>
      <c r="G419" s="12">
        <v>3.88</v>
      </c>
      <c r="H419" s="12">
        <f t="shared" si="18"/>
        <v>388</v>
      </c>
      <c r="I419" s="12">
        <f t="shared" si="19"/>
        <v>0</v>
      </c>
    </row>
    <row r="420" spans="1:9" outlineLevel="1" x14ac:dyDescent="0.25">
      <c r="A420" t="s">
        <v>809</v>
      </c>
      <c r="B420" t="s">
        <v>103</v>
      </c>
      <c r="C420" t="s">
        <v>802</v>
      </c>
      <c r="D420" t="s">
        <v>0</v>
      </c>
      <c r="E420">
        <v>50</v>
      </c>
      <c r="G420" s="12">
        <v>3.46</v>
      </c>
      <c r="H420" s="12">
        <f t="shared" si="18"/>
        <v>173</v>
      </c>
      <c r="I420" s="12">
        <f t="shared" si="19"/>
        <v>0</v>
      </c>
    </row>
    <row r="421" spans="1:9" outlineLevel="1" x14ac:dyDescent="0.25">
      <c r="A421" t="s">
        <v>810</v>
      </c>
      <c r="B421" t="s">
        <v>103</v>
      </c>
      <c r="C421" t="s">
        <v>804</v>
      </c>
      <c r="D421" t="s">
        <v>0</v>
      </c>
      <c r="E421">
        <v>100</v>
      </c>
      <c r="G421" s="12">
        <v>3.46</v>
      </c>
      <c r="H421" s="12">
        <f t="shared" si="18"/>
        <v>346</v>
      </c>
      <c r="I421" s="12">
        <f t="shared" si="19"/>
        <v>0</v>
      </c>
    </row>
    <row r="422" spans="1:9" outlineLevel="1" x14ac:dyDescent="0.25">
      <c r="A422" t="s">
        <v>811</v>
      </c>
      <c r="B422" t="s">
        <v>103</v>
      </c>
      <c r="C422" t="s">
        <v>806</v>
      </c>
      <c r="D422" t="s">
        <v>0</v>
      </c>
      <c r="E422">
        <v>200</v>
      </c>
      <c r="G422" s="12">
        <v>3.46</v>
      </c>
      <c r="H422" s="12">
        <f t="shared" si="18"/>
        <v>692</v>
      </c>
      <c r="I422" s="12">
        <f t="shared" si="19"/>
        <v>0</v>
      </c>
    </row>
    <row r="423" spans="1:9" outlineLevel="1" x14ac:dyDescent="0.25">
      <c r="A423" t="s">
        <v>812</v>
      </c>
      <c r="B423" t="s">
        <v>103</v>
      </c>
      <c r="C423" t="s">
        <v>808</v>
      </c>
      <c r="D423" t="s">
        <v>0</v>
      </c>
      <c r="E423">
        <v>100</v>
      </c>
      <c r="G423" s="12">
        <v>3.88</v>
      </c>
      <c r="H423" s="12">
        <f t="shared" si="18"/>
        <v>388</v>
      </c>
      <c r="I423" s="12">
        <f t="shared" si="19"/>
        <v>0</v>
      </c>
    </row>
    <row r="424" spans="1:9" outlineLevel="1" x14ac:dyDescent="0.25">
      <c r="A424" t="s">
        <v>813</v>
      </c>
      <c r="B424" t="s">
        <v>103</v>
      </c>
      <c r="C424" t="s">
        <v>814</v>
      </c>
      <c r="D424" t="s">
        <v>0</v>
      </c>
      <c r="E424">
        <v>20</v>
      </c>
      <c r="G424" s="12">
        <v>4.2</v>
      </c>
      <c r="H424" s="12">
        <f t="shared" si="18"/>
        <v>84</v>
      </c>
      <c r="I424" s="12">
        <f t="shared" si="19"/>
        <v>0</v>
      </c>
    </row>
    <row r="425" spans="1:9" outlineLevel="1" x14ac:dyDescent="0.25">
      <c r="A425" t="s">
        <v>815</v>
      </c>
      <c r="B425" t="s">
        <v>103</v>
      </c>
      <c r="C425" t="s">
        <v>816</v>
      </c>
      <c r="D425" t="s">
        <v>0</v>
      </c>
      <c r="E425">
        <v>20</v>
      </c>
      <c r="G425" s="12">
        <v>4.2</v>
      </c>
      <c r="H425" s="12">
        <f t="shared" si="18"/>
        <v>84</v>
      </c>
      <c r="I425" s="12">
        <f t="shared" si="19"/>
        <v>0</v>
      </c>
    </row>
    <row r="426" spans="1:9" outlineLevel="1" x14ac:dyDescent="0.25">
      <c r="A426" t="s">
        <v>817</v>
      </c>
      <c r="B426" t="s">
        <v>103</v>
      </c>
      <c r="C426" t="s">
        <v>818</v>
      </c>
      <c r="D426" t="s">
        <v>0</v>
      </c>
      <c r="E426">
        <v>60</v>
      </c>
      <c r="G426" s="12">
        <v>4.2</v>
      </c>
      <c r="H426" s="12">
        <f t="shared" ref="H426:H489" si="20">SUM(E426*G426)</f>
        <v>252</v>
      </c>
      <c r="I426" s="12">
        <f t="shared" ref="I426:I489" si="21">G426*F426</f>
        <v>0</v>
      </c>
    </row>
    <row r="427" spans="1:9" outlineLevel="1" x14ac:dyDescent="0.25">
      <c r="A427" t="s">
        <v>819</v>
      </c>
      <c r="B427" t="s">
        <v>103</v>
      </c>
      <c r="C427" t="s">
        <v>820</v>
      </c>
      <c r="D427" t="s">
        <v>0</v>
      </c>
      <c r="E427">
        <v>90</v>
      </c>
      <c r="G427" s="12">
        <v>4.68</v>
      </c>
      <c r="H427" s="12">
        <f t="shared" si="20"/>
        <v>421.2</v>
      </c>
      <c r="I427" s="12">
        <f t="shared" si="21"/>
        <v>0</v>
      </c>
    </row>
    <row r="428" spans="1:9" outlineLevel="1" x14ac:dyDescent="0.25">
      <c r="A428" t="s">
        <v>821</v>
      </c>
      <c r="B428" t="s">
        <v>103</v>
      </c>
      <c r="C428" t="s">
        <v>814</v>
      </c>
      <c r="D428" t="s">
        <v>0</v>
      </c>
      <c r="E428">
        <v>20</v>
      </c>
      <c r="G428" s="12">
        <v>4.2</v>
      </c>
      <c r="H428" s="12">
        <f t="shared" si="20"/>
        <v>84</v>
      </c>
      <c r="I428" s="12">
        <f t="shared" si="21"/>
        <v>0</v>
      </c>
    </row>
    <row r="429" spans="1:9" outlineLevel="1" x14ac:dyDescent="0.25">
      <c r="A429" t="s">
        <v>822</v>
      </c>
      <c r="B429" t="s">
        <v>103</v>
      </c>
      <c r="C429" t="s">
        <v>816</v>
      </c>
      <c r="D429" t="s">
        <v>0</v>
      </c>
      <c r="E429">
        <v>20</v>
      </c>
      <c r="G429" s="12">
        <v>4.2</v>
      </c>
      <c r="H429" s="12">
        <f t="shared" si="20"/>
        <v>84</v>
      </c>
      <c r="I429" s="12">
        <f t="shared" si="21"/>
        <v>0</v>
      </c>
    </row>
    <row r="430" spans="1:9" outlineLevel="1" x14ac:dyDescent="0.25">
      <c r="A430" t="s">
        <v>823</v>
      </c>
      <c r="B430" t="s">
        <v>103</v>
      </c>
      <c r="C430" t="s">
        <v>818</v>
      </c>
      <c r="D430" t="s">
        <v>0</v>
      </c>
      <c r="E430">
        <v>60</v>
      </c>
      <c r="G430" s="12">
        <v>4.2</v>
      </c>
      <c r="H430" s="12">
        <f t="shared" si="20"/>
        <v>252</v>
      </c>
      <c r="I430" s="12">
        <f t="shared" si="21"/>
        <v>0</v>
      </c>
    </row>
    <row r="431" spans="1:9" outlineLevel="1" x14ac:dyDescent="0.25">
      <c r="A431" t="s">
        <v>824</v>
      </c>
      <c r="B431" t="s">
        <v>103</v>
      </c>
      <c r="C431" t="s">
        <v>820</v>
      </c>
      <c r="D431" t="s">
        <v>0</v>
      </c>
      <c r="E431">
        <v>60</v>
      </c>
      <c r="G431" s="12">
        <v>4.68</v>
      </c>
      <c r="H431" s="12">
        <f t="shared" si="20"/>
        <v>280.79999999999995</v>
      </c>
      <c r="I431" s="12">
        <f t="shared" si="21"/>
        <v>0</v>
      </c>
    </row>
    <row r="432" spans="1:9" outlineLevel="1" x14ac:dyDescent="0.25">
      <c r="A432" t="s">
        <v>825</v>
      </c>
      <c r="B432" t="s">
        <v>103</v>
      </c>
      <c r="C432" t="s">
        <v>826</v>
      </c>
      <c r="D432" t="s">
        <v>0</v>
      </c>
      <c r="E432">
        <v>100</v>
      </c>
      <c r="G432" s="12">
        <v>3.78</v>
      </c>
      <c r="H432" s="12">
        <f t="shared" si="20"/>
        <v>378</v>
      </c>
      <c r="I432" s="12">
        <f t="shared" si="21"/>
        <v>0</v>
      </c>
    </row>
    <row r="433" spans="1:9" outlineLevel="1" x14ac:dyDescent="0.25">
      <c r="A433" t="s">
        <v>827</v>
      </c>
      <c r="B433" t="s">
        <v>103</v>
      </c>
      <c r="C433" t="s">
        <v>828</v>
      </c>
      <c r="D433" t="s">
        <v>0</v>
      </c>
      <c r="E433">
        <v>300</v>
      </c>
      <c r="G433" s="12">
        <v>3.78</v>
      </c>
      <c r="H433" s="12">
        <f t="shared" si="20"/>
        <v>1134</v>
      </c>
      <c r="I433" s="12">
        <f t="shared" si="21"/>
        <v>0</v>
      </c>
    </row>
    <row r="434" spans="1:9" outlineLevel="1" x14ac:dyDescent="0.25">
      <c r="A434" t="s">
        <v>829</v>
      </c>
      <c r="B434" t="s">
        <v>103</v>
      </c>
      <c r="C434" t="s">
        <v>830</v>
      </c>
      <c r="D434" t="s">
        <v>0</v>
      </c>
      <c r="E434">
        <v>50</v>
      </c>
      <c r="G434" s="12">
        <v>3.78</v>
      </c>
      <c r="H434" s="12">
        <f t="shared" si="20"/>
        <v>189</v>
      </c>
      <c r="I434" s="12">
        <f t="shared" si="21"/>
        <v>0</v>
      </c>
    </row>
    <row r="435" spans="1:9" outlineLevel="1" x14ac:dyDescent="0.25">
      <c r="A435" t="s">
        <v>831</v>
      </c>
      <c r="B435" t="s">
        <v>103</v>
      </c>
      <c r="C435" t="s">
        <v>832</v>
      </c>
      <c r="D435" t="s">
        <v>0</v>
      </c>
      <c r="E435">
        <v>500</v>
      </c>
      <c r="G435" s="12">
        <v>3.99</v>
      </c>
      <c r="H435" s="12">
        <f t="shared" si="20"/>
        <v>1995</v>
      </c>
      <c r="I435" s="12">
        <f t="shared" si="21"/>
        <v>0</v>
      </c>
    </row>
    <row r="436" spans="1:9" outlineLevel="1" x14ac:dyDescent="0.25">
      <c r="A436" t="s">
        <v>833</v>
      </c>
      <c r="B436" t="s">
        <v>103</v>
      </c>
      <c r="C436" t="s">
        <v>826</v>
      </c>
      <c r="D436" t="s">
        <v>0</v>
      </c>
      <c r="E436">
        <v>50</v>
      </c>
      <c r="G436" s="12">
        <v>3.78</v>
      </c>
      <c r="H436" s="12">
        <f t="shared" si="20"/>
        <v>189</v>
      </c>
      <c r="I436" s="12">
        <f t="shared" si="21"/>
        <v>0</v>
      </c>
    </row>
    <row r="437" spans="1:9" outlineLevel="1" x14ac:dyDescent="0.25">
      <c r="A437" t="s">
        <v>834</v>
      </c>
      <c r="B437" t="s">
        <v>103</v>
      </c>
      <c r="C437" t="s">
        <v>828</v>
      </c>
      <c r="D437" t="s">
        <v>0</v>
      </c>
      <c r="E437">
        <v>100</v>
      </c>
      <c r="G437" s="12">
        <v>3.78</v>
      </c>
      <c r="H437" s="12">
        <f t="shared" si="20"/>
        <v>378</v>
      </c>
      <c r="I437" s="12">
        <f t="shared" si="21"/>
        <v>0</v>
      </c>
    </row>
    <row r="438" spans="1:9" outlineLevel="1" x14ac:dyDescent="0.25">
      <c r="A438" t="s">
        <v>835</v>
      </c>
      <c r="B438" t="s">
        <v>103</v>
      </c>
      <c r="C438" t="s">
        <v>830</v>
      </c>
      <c r="D438" t="s">
        <v>0</v>
      </c>
      <c r="E438">
        <v>50</v>
      </c>
      <c r="G438" s="12">
        <v>3.78</v>
      </c>
      <c r="H438" s="12">
        <f t="shared" si="20"/>
        <v>189</v>
      </c>
      <c r="I438" s="12">
        <f t="shared" si="21"/>
        <v>0</v>
      </c>
    </row>
    <row r="439" spans="1:9" outlineLevel="1" x14ac:dyDescent="0.25">
      <c r="A439" t="s">
        <v>836</v>
      </c>
      <c r="B439" t="s">
        <v>103</v>
      </c>
      <c r="C439" t="s">
        <v>832</v>
      </c>
      <c r="D439" t="s">
        <v>0</v>
      </c>
      <c r="E439">
        <v>200</v>
      </c>
      <c r="G439" s="12">
        <v>3.99</v>
      </c>
      <c r="H439" s="12">
        <f t="shared" si="20"/>
        <v>798</v>
      </c>
      <c r="I439" s="12">
        <f t="shared" si="21"/>
        <v>0</v>
      </c>
    </row>
    <row r="440" spans="1:9" outlineLevel="1" x14ac:dyDescent="0.25">
      <c r="A440" t="s">
        <v>837</v>
      </c>
      <c r="B440" t="s">
        <v>103</v>
      </c>
      <c r="C440" t="s">
        <v>838</v>
      </c>
      <c r="D440" t="s">
        <v>0</v>
      </c>
      <c r="E440">
        <v>40</v>
      </c>
      <c r="G440" s="12">
        <v>4.95</v>
      </c>
      <c r="H440" s="12">
        <f t="shared" si="20"/>
        <v>198</v>
      </c>
      <c r="I440" s="12">
        <f t="shared" si="21"/>
        <v>0</v>
      </c>
    </row>
    <row r="441" spans="1:9" outlineLevel="1" x14ac:dyDescent="0.25">
      <c r="A441" t="s">
        <v>839</v>
      </c>
      <c r="B441" t="s">
        <v>103</v>
      </c>
      <c r="C441" t="s">
        <v>840</v>
      </c>
      <c r="D441" t="s">
        <v>0</v>
      </c>
      <c r="E441">
        <v>30</v>
      </c>
      <c r="G441" s="12">
        <v>4.95</v>
      </c>
      <c r="H441" s="12">
        <f t="shared" si="20"/>
        <v>148.5</v>
      </c>
      <c r="I441" s="12">
        <f t="shared" si="21"/>
        <v>0</v>
      </c>
    </row>
    <row r="442" spans="1:9" outlineLevel="1" x14ac:dyDescent="0.25">
      <c r="A442" t="s">
        <v>841</v>
      </c>
      <c r="B442" t="s">
        <v>103</v>
      </c>
      <c r="C442" t="s">
        <v>842</v>
      </c>
      <c r="D442" t="s">
        <v>0</v>
      </c>
      <c r="E442">
        <v>80</v>
      </c>
      <c r="G442" s="12">
        <v>4.95</v>
      </c>
      <c r="H442" s="12">
        <f t="shared" si="20"/>
        <v>396</v>
      </c>
      <c r="I442" s="12">
        <f t="shared" si="21"/>
        <v>0</v>
      </c>
    </row>
    <row r="443" spans="1:9" outlineLevel="1" x14ac:dyDescent="0.25">
      <c r="A443" t="s">
        <v>843</v>
      </c>
      <c r="B443" t="s">
        <v>103</v>
      </c>
      <c r="C443" t="s">
        <v>844</v>
      </c>
      <c r="D443" t="s">
        <v>0</v>
      </c>
      <c r="E443">
        <v>80</v>
      </c>
      <c r="G443" s="12">
        <v>5.1100000000000003</v>
      </c>
      <c r="H443" s="12">
        <f t="shared" si="20"/>
        <v>408.8</v>
      </c>
      <c r="I443" s="12">
        <f t="shared" si="21"/>
        <v>0</v>
      </c>
    </row>
    <row r="444" spans="1:9" outlineLevel="1" x14ac:dyDescent="0.25">
      <c r="A444" t="s">
        <v>845</v>
      </c>
      <c r="B444" t="s">
        <v>103</v>
      </c>
      <c r="C444" t="s">
        <v>838</v>
      </c>
      <c r="D444" t="s">
        <v>0</v>
      </c>
      <c r="E444">
        <v>20</v>
      </c>
      <c r="G444" s="12">
        <v>4.95</v>
      </c>
      <c r="H444" s="12">
        <f t="shared" si="20"/>
        <v>99</v>
      </c>
      <c r="I444" s="12">
        <f t="shared" si="21"/>
        <v>0</v>
      </c>
    </row>
    <row r="445" spans="1:9" outlineLevel="1" x14ac:dyDescent="0.25">
      <c r="A445" t="s">
        <v>846</v>
      </c>
      <c r="B445" t="s">
        <v>103</v>
      </c>
      <c r="C445" t="s">
        <v>840</v>
      </c>
      <c r="D445" t="s">
        <v>0</v>
      </c>
      <c r="E445">
        <v>20</v>
      </c>
      <c r="G445" s="12">
        <v>4.95</v>
      </c>
      <c r="H445" s="12">
        <f t="shared" si="20"/>
        <v>99</v>
      </c>
      <c r="I445" s="12">
        <f t="shared" si="21"/>
        <v>0</v>
      </c>
    </row>
    <row r="446" spans="1:9" outlineLevel="1" x14ac:dyDescent="0.25">
      <c r="A446" t="s">
        <v>847</v>
      </c>
      <c r="B446" t="s">
        <v>103</v>
      </c>
      <c r="C446" t="s">
        <v>842</v>
      </c>
      <c r="D446" t="s">
        <v>0</v>
      </c>
      <c r="E446">
        <v>40</v>
      </c>
      <c r="G446" s="12">
        <v>4.95</v>
      </c>
      <c r="H446" s="12">
        <f t="shared" si="20"/>
        <v>198</v>
      </c>
      <c r="I446" s="12">
        <f t="shared" si="21"/>
        <v>0</v>
      </c>
    </row>
    <row r="447" spans="1:9" outlineLevel="1" x14ac:dyDescent="0.25">
      <c r="A447" t="s">
        <v>848</v>
      </c>
      <c r="B447" t="s">
        <v>103</v>
      </c>
      <c r="C447" t="s">
        <v>844</v>
      </c>
      <c r="D447" t="s">
        <v>0</v>
      </c>
      <c r="E447">
        <v>40</v>
      </c>
      <c r="G447" s="12">
        <v>5.1100000000000003</v>
      </c>
      <c r="H447" s="12">
        <f t="shared" si="20"/>
        <v>204.4</v>
      </c>
      <c r="I447" s="12">
        <f t="shared" si="21"/>
        <v>0</v>
      </c>
    </row>
    <row r="448" spans="1:9" outlineLevel="1" x14ac:dyDescent="0.25">
      <c r="A448" s="8"/>
      <c r="B448" s="8"/>
      <c r="C448" s="8"/>
      <c r="D448" s="8"/>
      <c r="E448" s="8"/>
      <c r="F448" s="8"/>
      <c r="G448" s="14"/>
      <c r="H448" s="14"/>
      <c r="I448" s="14"/>
    </row>
    <row r="449" spans="1:9" outlineLevel="1" x14ac:dyDescent="0.25">
      <c r="A449" t="s">
        <v>849</v>
      </c>
      <c r="B449" t="s">
        <v>103</v>
      </c>
      <c r="C449" t="s">
        <v>850</v>
      </c>
      <c r="D449" t="s">
        <v>0</v>
      </c>
      <c r="E449">
        <v>100</v>
      </c>
      <c r="G449" s="12">
        <v>3.39</v>
      </c>
      <c r="H449" s="12">
        <f t="shared" si="20"/>
        <v>339</v>
      </c>
      <c r="I449" s="12">
        <f t="shared" si="21"/>
        <v>0</v>
      </c>
    </row>
    <row r="450" spans="1:9" outlineLevel="1" x14ac:dyDescent="0.25">
      <c r="A450" t="s">
        <v>851</v>
      </c>
      <c r="B450" t="s">
        <v>103</v>
      </c>
      <c r="C450" t="s">
        <v>852</v>
      </c>
      <c r="D450" t="s">
        <v>0</v>
      </c>
      <c r="E450">
        <v>100</v>
      </c>
      <c r="G450" s="12">
        <v>3.39</v>
      </c>
      <c r="H450" s="12">
        <f t="shared" si="20"/>
        <v>339</v>
      </c>
      <c r="I450" s="12">
        <f t="shared" si="21"/>
        <v>0</v>
      </c>
    </row>
    <row r="451" spans="1:9" outlineLevel="1" x14ac:dyDescent="0.25">
      <c r="A451" t="s">
        <v>853</v>
      </c>
      <c r="B451" t="s">
        <v>103</v>
      </c>
      <c r="C451" t="s">
        <v>854</v>
      </c>
      <c r="D451" t="s">
        <v>0</v>
      </c>
      <c r="E451">
        <v>200</v>
      </c>
      <c r="G451" s="12">
        <v>3.39</v>
      </c>
      <c r="H451" s="12">
        <f t="shared" si="20"/>
        <v>678</v>
      </c>
      <c r="I451" s="12">
        <f t="shared" si="21"/>
        <v>0</v>
      </c>
    </row>
    <row r="452" spans="1:9" outlineLevel="1" x14ac:dyDescent="0.25">
      <c r="A452" t="s">
        <v>855</v>
      </c>
      <c r="B452" t="s">
        <v>103</v>
      </c>
      <c r="C452" t="s">
        <v>856</v>
      </c>
      <c r="D452" t="s">
        <v>0</v>
      </c>
      <c r="E452">
        <v>200</v>
      </c>
      <c r="G452" s="12">
        <v>3.39</v>
      </c>
      <c r="H452" s="12">
        <f t="shared" si="20"/>
        <v>678</v>
      </c>
      <c r="I452" s="12">
        <f t="shared" si="21"/>
        <v>0</v>
      </c>
    </row>
    <row r="453" spans="1:9" outlineLevel="1" x14ac:dyDescent="0.25">
      <c r="A453" t="s">
        <v>857</v>
      </c>
      <c r="B453" t="s">
        <v>103</v>
      </c>
      <c r="C453" t="s">
        <v>858</v>
      </c>
      <c r="D453" t="s">
        <v>0</v>
      </c>
      <c r="E453">
        <v>600</v>
      </c>
      <c r="G453" s="12">
        <v>3.59</v>
      </c>
      <c r="H453" s="12">
        <f t="shared" si="20"/>
        <v>2154</v>
      </c>
      <c r="I453" s="12">
        <f t="shared" si="21"/>
        <v>0</v>
      </c>
    </row>
    <row r="454" spans="1:9" outlineLevel="1" x14ac:dyDescent="0.25">
      <c r="A454" t="s">
        <v>859</v>
      </c>
      <c r="B454" t="s">
        <v>103</v>
      </c>
      <c r="C454" t="s">
        <v>850</v>
      </c>
      <c r="D454" t="s">
        <v>0</v>
      </c>
      <c r="E454">
        <v>50</v>
      </c>
      <c r="G454" s="12">
        <v>3.39</v>
      </c>
      <c r="H454" s="12">
        <f t="shared" si="20"/>
        <v>169.5</v>
      </c>
      <c r="I454" s="12">
        <f t="shared" si="21"/>
        <v>0</v>
      </c>
    </row>
    <row r="455" spans="1:9" outlineLevel="1" x14ac:dyDescent="0.25">
      <c r="A455" t="s">
        <v>860</v>
      </c>
      <c r="B455" t="s">
        <v>103</v>
      </c>
      <c r="C455" t="s">
        <v>854</v>
      </c>
      <c r="D455" t="s">
        <v>0</v>
      </c>
      <c r="E455">
        <v>50</v>
      </c>
      <c r="G455" s="12">
        <v>3.39</v>
      </c>
      <c r="H455" s="12">
        <f t="shared" si="20"/>
        <v>169.5</v>
      </c>
      <c r="I455" s="12">
        <f t="shared" si="21"/>
        <v>0</v>
      </c>
    </row>
    <row r="456" spans="1:9" outlineLevel="1" x14ac:dyDescent="0.25">
      <c r="A456" t="s">
        <v>861</v>
      </c>
      <c r="B456" t="s">
        <v>103</v>
      </c>
      <c r="C456" t="s">
        <v>856</v>
      </c>
      <c r="D456" t="s">
        <v>0</v>
      </c>
      <c r="E456">
        <v>50</v>
      </c>
      <c r="G456" s="12">
        <v>3.39</v>
      </c>
      <c r="H456" s="12">
        <f t="shared" si="20"/>
        <v>169.5</v>
      </c>
      <c r="I456" s="12">
        <f t="shared" si="21"/>
        <v>0</v>
      </c>
    </row>
    <row r="457" spans="1:9" outlineLevel="1" x14ac:dyDescent="0.25">
      <c r="A457" t="s">
        <v>862</v>
      </c>
      <c r="B457" t="s">
        <v>103</v>
      </c>
      <c r="C457" t="s">
        <v>858</v>
      </c>
      <c r="D457" t="s">
        <v>0</v>
      </c>
      <c r="E457">
        <v>100</v>
      </c>
      <c r="G457" s="12">
        <v>3.59</v>
      </c>
      <c r="H457" s="12">
        <f t="shared" si="20"/>
        <v>359</v>
      </c>
      <c r="I457" s="12">
        <f t="shared" si="21"/>
        <v>0</v>
      </c>
    </row>
    <row r="458" spans="1:9" outlineLevel="1" x14ac:dyDescent="0.25">
      <c r="A458" t="s">
        <v>863</v>
      </c>
      <c r="B458" t="s">
        <v>103</v>
      </c>
      <c r="C458" t="s">
        <v>864</v>
      </c>
      <c r="D458" t="s">
        <v>0</v>
      </c>
      <c r="E458">
        <v>10</v>
      </c>
      <c r="G458" s="12">
        <v>3.78</v>
      </c>
      <c r="H458" s="12">
        <f t="shared" si="20"/>
        <v>37.799999999999997</v>
      </c>
      <c r="I458" s="12">
        <f t="shared" si="21"/>
        <v>0</v>
      </c>
    </row>
    <row r="459" spans="1:9" outlineLevel="1" x14ac:dyDescent="0.25">
      <c r="A459" t="s">
        <v>865</v>
      </c>
      <c r="B459" t="s">
        <v>103</v>
      </c>
      <c r="C459" t="s">
        <v>866</v>
      </c>
      <c r="D459" t="s">
        <v>0</v>
      </c>
      <c r="E459">
        <v>10</v>
      </c>
      <c r="G459" s="12">
        <v>3.78</v>
      </c>
      <c r="H459" s="12">
        <f t="shared" si="20"/>
        <v>37.799999999999997</v>
      </c>
      <c r="I459" s="12">
        <f t="shared" si="21"/>
        <v>0</v>
      </c>
    </row>
    <row r="460" spans="1:9" outlineLevel="1" x14ac:dyDescent="0.25">
      <c r="A460" t="s">
        <v>867</v>
      </c>
      <c r="B460" t="s">
        <v>103</v>
      </c>
      <c r="C460" t="s">
        <v>868</v>
      </c>
      <c r="D460" t="s">
        <v>0</v>
      </c>
      <c r="E460">
        <v>10</v>
      </c>
      <c r="G460" s="12">
        <v>3.78</v>
      </c>
      <c r="H460" s="12">
        <f t="shared" si="20"/>
        <v>37.799999999999997</v>
      </c>
      <c r="I460" s="12">
        <f t="shared" si="21"/>
        <v>0</v>
      </c>
    </row>
    <row r="461" spans="1:9" outlineLevel="1" x14ac:dyDescent="0.25">
      <c r="A461" t="s">
        <v>869</v>
      </c>
      <c r="B461" t="s">
        <v>103</v>
      </c>
      <c r="C461" t="s">
        <v>870</v>
      </c>
      <c r="D461" t="s">
        <v>0</v>
      </c>
      <c r="E461">
        <v>10</v>
      </c>
      <c r="G461" s="12">
        <v>3.78</v>
      </c>
      <c r="H461" s="12">
        <f t="shared" si="20"/>
        <v>37.799999999999997</v>
      </c>
      <c r="I461" s="12">
        <f t="shared" si="21"/>
        <v>0</v>
      </c>
    </row>
    <row r="462" spans="1:9" outlineLevel="1" x14ac:dyDescent="0.25">
      <c r="A462" t="s">
        <v>871</v>
      </c>
      <c r="B462" t="s">
        <v>103</v>
      </c>
      <c r="C462" t="s">
        <v>872</v>
      </c>
      <c r="D462" t="s">
        <v>0</v>
      </c>
      <c r="E462">
        <v>10</v>
      </c>
      <c r="G462" s="12">
        <v>3.98</v>
      </c>
      <c r="H462" s="12">
        <f t="shared" si="20"/>
        <v>39.799999999999997</v>
      </c>
      <c r="I462" s="12">
        <f t="shared" si="21"/>
        <v>0</v>
      </c>
    </row>
    <row r="463" spans="1:9" outlineLevel="1" x14ac:dyDescent="0.25">
      <c r="A463" t="s">
        <v>873</v>
      </c>
      <c r="B463" t="s">
        <v>103</v>
      </c>
      <c r="C463" t="s">
        <v>864</v>
      </c>
      <c r="D463" t="s">
        <v>0</v>
      </c>
      <c r="E463">
        <v>10</v>
      </c>
      <c r="G463" s="12">
        <v>3.78</v>
      </c>
      <c r="H463" s="12">
        <f t="shared" si="20"/>
        <v>37.799999999999997</v>
      </c>
      <c r="I463" s="12">
        <f t="shared" si="21"/>
        <v>0</v>
      </c>
    </row>
    <row r="464" spans="1:9" outlineLevel="1" x14ac:dyDescent="0.25">
      <c r="A464" t="s">
        <v>874</v>
      </c>
      <c r="B464" t="s">
        <v>103</v>
      </c>
      <c r="C464" t="s">
        <v>868</v>
      </c>
      <c r="D464" t="s">
        <v>0</v>
      </c>
      <c r="E464">
        <v>5</v>
      </c>
      <c r="G464" s="12">
        <v>3.78</v>
      </c>
      <c r="H464" s="12">
        <f t="shared" si="20"/>
        <v>18.899999999999999</v>
      </c>
      <c r="I464" s="12">
        <f t="shared" si="21"/>
        <v>0</v>
      </c>
    </row>
    <row r="465" spans="1:9" outlineLevel="1" x14ac:dyDescent="0.25">
      <c r="A465" t="s">
        <v>875</v>
      </c>
      <c r="B465" t="s">
        <v>103</v>
      </c>
      <c r="C465" t="s">
        <v>870</v>
      </c>
      <c r="D465" t="s">
        <v>0</v>
      </c>
      <c r="E465">
        <v>5</v>
      </c>
      <c r="G465" s="12">
        <v>3.78</v>
      </c>
      <c r="H465" s="12">
        <f t="shared" si="20"/>
        <v>18.899999999999999</v>
      </c>
      <c r="I465" s="12">
        <f t="shared" si="21"/>
        <v>0</v>
      </c>
    </row>
    <row r="466" spans="1:9" outlineLevel="1" x14ac:dyDescent="0.25">
      <c r="A466" t="s">
        <v>876</v>
      </c>
      <c r="B466" t="s">
        <v>103</v>
      </c>
      <c r="C466" t="s">
        <v>872</v>
      </c>
      <c r="D466" t="s">
        <v>0</v>
      </c>
      <c r="E466">
        <v>5</v>
      </c>
      <c r="G466" s="12">
        <v>3.98</v>
      </c>
      <c r="H466" s="12">
        <f t="shared" si="20"/>
        <v>19.899999999999999</v>
      </c>
      <c r="I466" s="12">
        <f t="shared" si="21"/>
        <v>0</v>
      </c>
    </row>
    <row r="467" spans="1:9" outlineLevel="1" x14ac:dyDescent="0.25">
      <c r="A467" t="s">
        <v>877</v>
      </c>
      <c r="B467" t="s">
        <v>103</v>
      </c>
      <c r="C467" t="s">
        <v>878</v>
      </c>
      <c r="D467" t="s">
        <v>0</v>
      </c>
      <c r="E467">
        <v>20</v>
      </c>
      <c r="G467" s="12">
        <v>4.2</v>
      </c>
      <c r="H467" s="12">
        <f t="shared" si="20"/>
        <v>84</v>
      </c>
      <c r="I467" s="12">
        <f t="shared" si="21"/>
        <v>0</v>
      </c>
    </row>
    <row r="468" spans="1:9" outlineLevel="1" x14ac:dyDescent="0.25">
      <c r="A468" t="s">
        <v>879</v>
      </c>
      <c r="B468" t="s">
        <v>103</v>
      </c>
      <c r="C468" t="s">
        <v>880</v>
      </c>
      <c r="D468" t="s">
        <v>0</v>
      </c>
      <c r="E468">
        <v>60</v>
      </c>
      <c r="G468" s="12">
        <v>4.2</v>
      </c>
      <c r="H468" s="12">
        <f t="shared" si="20"/>
        <v>252</v>
      </c>
      <c r="I468" s="12">
        <f t="shared" si="21"/>
        <v>0</v>
      </c>
    </row>
    <row r="469" spans="1:9" outlineLevel="1" x14ac:dyDescent="0.25">
      <c r="A469" t="s">
        <v>881</v>
      </c>
      <c r="B469" t="s">
        <v>103</v>
      </c>
      <c r="C469" t="s">
        <v>882</v>
      </c>
      <c r="D469" t="s">
        <v>0</v>
      </c>
      <c r="E469">
        <v>60</v>
      </c>
      <c r="G469" s="12">
        <v>4.2</v>
      </c>
      <c r="H469" s="12">
        <f t="shared" si="20"/>
        <v>252</v>
      </c>
      <c r="I469" s="12">
        <f t="shared" si="21"/>
        <v>0</v>
      </c>
    </row>
    <row r="470" spans="1:9" outlineLevel="1" x14ac:dyDescent="0.25">
      <c r="A470" t="s">
        <v>883</v>
      </c>
      <c r="B470" t="s">
        <v>103</v>
      </c>
      <c r="C470" t="s">
        <v>884</v>
      </c>
      <c r="D470" t="s">
        <v>0</v>
      </c>
      <c r="E470">
        <v>40</v>
      </c>
      <c r="G470" s="12">
        <v>4.33</v>
      </c>
      <c r="H470" s="12">
        <f t="shared" si="20"/>
        <v>173.2</v>
      </c>
      <c r="I470" s="12">
        <f t="shared" si="21"/>
        <v>0</v>
      </c>
    </row>
    <row r="471" spans="1:9" outlineLevel="1" x14ac:dyDescent="0.25">
      <c r="A471" t="s">
        <v>885</v>
      </c>
      <c r="B471" t="s">
        <v>103</v>
      </c>
      <c r="C471" t="s">
        <v>886</v>
      </c>
      <c r="D471" t="s">
        <v>0</v>
      </c>
      <c r="E471">
        <v>15</v>
      </c>
      <c r="G471" s="12">
        <v>4.96</v>
      </c>
      <c r="H471" s="12">
        <f t="shared" si="20"/>
        <v>74.400000000000006</v>
      </c>
      <c r="I471" s="12">
        <f t="shared" si="21"/>
        <v>0</v>
      </c>
    </row>
    <row r="472" spans="1:9" outlineLevel="1" x14ac:dyDescent="0.25">
      <c r="A472" t="s">
        <v>887</v>
      </c>
      <c r="B472" t="s">
        <v>103</v>
      </c>
      <c r="C472" t="s">
        <v>888</v>
      </c>
      <c r="D472" t="s">
        <v>0</v>
      </c>
      <c r="E472">
        <v>20</v>
      </c>
      <c r="G472" s="12">
        <v>4.96</v>
      </c>
      <c r="H472" s="12">
        <f t="shared" si="20"/>
        <v>99.2</v>
      </c>
      <c r="I472" s="12">
        <f t="shared" si="21"/>
        <v>0</v>
      </c>
    </row>
    <row r="473" spans="1:9" outlineLevel="1" x14ac:dyDescent="0.25">
      <c r="A473" t="s">
        <v>889</v>
      </c>
      <c r="B473" t="s">
        <v>103</v>
      </c>
      <c r="C473" t="s">
        <v>890</v>
      </c>
      <c r="D473" t="s">
        <v>0</v>
      </c>
      <c r="E473">
        <v>20</v>
      </c>
      <c r="G473" s="12">
        <v>4.96</v>
      </c>
      <c r="H473" s="12">
        <f t="shared" si="20"/>
        <v>99.2</v>
      </c>
      <c r="I473" s="12">
        <f t="shared" si="21"/>
        <v>0</v>
      </c>
    </row>
    <row r="474" spans="1:9" outlineLevel="1" x14ac:dyDescent="0.25">
      <c r="A474" t="s">
        <v>891</v>
      </c>
      <c r="B474" t="s">
        <v>103</v>
      </c>
      <c r="C474" t="s">
        <v>892</v>
      </c>
      <c r="D474" t="s">
        <v>0</v>
      </c>
      <c r="E474">
        <v>20</v>
      </c>
      <c r="G474" s="12">
        <v>5.1100000000000003</v>
      </c>
      <c r="H474" s="12">
        <f t="shared" si="20"/>
        <v>102.2</v>
      </c>
      <c r="I474" s="12">
        <f t="shared" si="21"/>
        <v>0</v>
      </c>
    </row>
    <row r="475" spans="1:9" outlineLevel="1" x14ac:dyDescent="0.25">
      <c r="A475" t="s">
        <v>893</v>
      </c>
      <c r="B475" t="s">
        <v>103</v>
      </c>
      <c r="C475" t="s">
        <v>894</v>
      </c>
      <c r="D475" t="s">
        <v>0</v>
      </c>
      <c r="E475">
        <v>15</v>
      </c>
      <c r="G475" s="12">
        <v>7.17</v>
      </c>
      <c r="H475" s="12">
        <f t="shared" si="20"/>
        <v>107.55</v>
      </c>
      <c r="I475" s="12">
        <f t="shared" si="21"/>
        <v>0</v>
      </c>
    </row>
    <row r="476" spans="1:9" outlineLevel="1" x14ac:dyDescent="0.25">
      <c r="A476" t="s">
        <v>895</v>
      </c>
      <c r="B476" t="s">
        <v>103</v>
      </c>
      <c r="C476" t="s">
        <v>896</v>
      </c>
      <c r="D476" t="s">
        <v>0</v>
      </c>
      <c r="E476">
        <v>20</v>
      </c>
      <c r="G476" s="12">
        <v>7.17</v>
      </c>
      <c r="H476" s="12">
        <f t="shared" si="20"/>
        <v>143.4</v>
      </c>
      <c r="I476" s="12">
        <f t="shared" si="21"/>
        <v>0</v>
      </c>
    </row>
    <row r="477" spans="1:9" outlineLevel="1" x14ac:dyDescent="0.25">
      <c r="A477" t="s">
        <v>897</v>
      </c>
      <c r="B477" t="s">
        <v>103</v>
      </c>
      <c r="C477" t="s">
        <v>898</v>
      </c>
      <c r="D477" t="s">
        <v>0</v>
      </c>
      <c r="E477">
        <v>20</v>
      </c>
      <c r="G477" s="12">
        <v>7.17</v>
      </c>
      <c r="H477" s="12">
        <f t="shared" si="20"/>
        <v>143.4</v>
      </c>
      <c r="I477" s="12">
        <f t="shared" si="21"/>
        <v>0</v>
      </c>
    </row>
    <row r="478" spans="1:9" outlineLevel="1" x14ac:dyDescent="0.25">
      <c r="A478" t="s">
        <v>899</v>
      </c>
      <c r="B478" t="s">
        <v>103</v>
      </c>
      <c r="C478" t="s">
        <v>900</v>
      </c>
      <c r="D478" t="s">
        <v>0</v>
      </c>
      <c r="E478">
        <v>20</v>
      </c>
      <c r="G478" s="12">
        <v>7.54</v>
      </c>
      <c r="H478" s="12">
        <f t="shared" si="20"/>
        <v>150.80000000000001</v>
      </c>
      <c r="I478" s="12">
        <f t="shared" si="21"/>
        <v>0</v>
      </c>
    </row>
    <row r="479" spans="1:9" outlineLevel="1" x14ac:dyDescent="0.25">
      <c r="A479" s="8"/>
      <c r="B479" s="8"/>
      <c r="C479" s="8"/>
      <c r="D479" s="8"/>
      <c r="E479" s="8"/>
      <c r="F479" s="8"/>
      <c r="G479" s="14"/>
      <c r="H479" s="14"/>
      <c r="I479" s="14"/>
    </row>
    <row r="480" spans="1:9" outlineLevel="1" x14ac:dyDescent="0.25">
      <c r="A480" t="s">
        <v>901</v>
      </c>
      <c r="B480" t="s">
        <v>103</v>
      </c>
      <c r="C480" t="s">
        <v>902</v>
      </c>
      <c r="D480" t="s">
        <v>0</v>
      </c>
      <c r="E480">
        <v>100</v>
      </c>
      <c r="G480" s="12">
        <v>6.66</v>
      </c>
      <c r="H480" s="12">
        <f t="shared" si="20"/>
        <v>666</v>
      </c>
      <c r="I480" s="12">
        <f t="shared" si="21"/>
        <v>0</v>
      </c>
    </row>
    <row r="481" spans="1:9" outlineLevel="1" x14ac:dyDescent="0.25">
      <c r="A481" t="s">
        <v>903</v>
      </c>
      <c r="B481" t="s">
        <v>103</v>
      </c>
      <c r="C481" t="s">
        <v>904</v>
      </c>
      <c r="D481" t="s">
        <v>0</v>
      </c>
      <c r="E481">
        <v>200</v>
      </c>
      <c r="G481" s="12">
        <v>6.66</v>
      </c>
      <c r="H481" s="12">
        <f t="shared" si="20"/>
        <v>1332</v>
      </c>
      <c r="I481" s="12">
        <f t="shared" si="21"/>
        <v>0</v>
      </c>
    </row>
    <row r="482" spans="1:9" outlineLevel="1" x14ac:dyDescent="0.25">
      <c r="A482" t="s">
        <v>905</v>
      </c>
      <c r="B482" t="s">
        <v>103</v>
      </c>
      <c r="C482" t="s">
        <v>906</v>
      </c>
      <c r="D482" t="s">
        <v>0</v>
      </c>
      <c r="E482">
        <v>100</v>
      </c>
      <c r="G482" s="12">
        <v>6.66</v>
      </c>
      <c r="H482" s="12">
        <f t="shared" si="20"/>
        <v>666</v>
      </c>
      <c r="I482" s="12">
        <f t="shared" si="21"/>
        <v>0</v>
      </c>
    </row>
    <row r="483" spans="1:9" outlineLevel="1" x14ac:dyDescent="0.25">
      <c r="A483" t="s">
        <v>907</v>
      </c>
      <c r="B483" t="s">
        <v>103</v>
      </c>
      <c r="C483" t="s">
        <v>908</v>
      </c>
      <c r="D483" t="s">
        <v>0</v>
      </c>
      <c r="E483">
        <v>150</v>
      </c>
      <c r="G483" s="12">
        <v>11.6</v>
      </c>
      <c r="H483" s="12">
        <f t="shared" si="20"/>
        <v>1740</v>
      </c>
      <c r="I483" s="12">
        <f t="shared" si="21"/>
        <v>0</v>
      </c>
    </row>
    <row r="484" spans="1:9" outlineLevel="1" x14ac:dyDescent="0.25">
      <c r="A484" t="s">
        <v>909</v>
      </c>
      <c r="B484" t="s">
        <v>103</v>
      </c>
      <c r="C484" t="s">
        <v>910</v>
      </c>
      <c r="D484" t="s">
        <v>0</v>
      </c>
      <c r="E484">
        <v>50</v>
      </c>
      <c r="G484" s="12">
        <v>8.5299999999999994</v>
      </c>
      <c r="H484" s="12">
        <f t="shared" si="20"/>
        <v>426.49999999999994</v>
      </c>
      <c r="I484" s="12">
        <f t="shared" si="21"/>
        <v>0</v>
      </c>
    </row>
    <row r="485" spans="1:9" outlineLevel="1" x14ac:dyDescent="0.25">
      <c r="A485" t="s">
        <v>911</v>
      </c>
      <c r="B485" t="s">
        <v>103</v>
      </c>
      <c r="C485" t="s">
        <v>912</v>
      </c>
      <c r="D485" t="s">
        <v>0</v>
      </c>
      <c r="E485">
        <v>50</v>
      </c>
      <c r="G485" s="12">
        <v>8.5299999999999994</v>
      </c>
      <c r="H485" s="12">
        <f t="shared" si="20"/>
        <v>426.49999999999994</v>
      </c>
      <c r="I485" s="12">
        <f t="shared" si="21"/>
        <v>0</v>
      </c>
    </row>
    <row r="486" spans="1:9" outlineLevel="1" x14ac:dyDescent="0.25">
      <c r="A486" t="s">
        <v>913</v>
      </c>
      <c r="B486" t="s">
        <v>103</v>
      </c>
      <c r="C486" t="s">
        <v>914</v>
      </c>
      <c r="D486" t="s">
        <v>0</v>
      </c>
      <c r="E486">
        <v>50</v>
      </c>
      <c r="G486" s="12">
        <v>8.5299999999999994</v>
      </c>
      <c r="H486" s="12">
        <f t="shared" si="20"/>
        <v>426.49999999999994</v>
      </c>
      <c r="I486" s="12">
        <f t="shared" si="21"/>
        <v>0</v>
      </c>
    </row>
    <row r="487" spans="1:9" outlineLevel="1" x14ac:dyDescent="0.25">
      <c r="A487" t="s">
        <v>915</v>
      </c>
      <c r="B487" t="s">
        <v>103</v>
      </c>
      <c r="C487" t="s">
        <v>916</v>
      </c>
      <c r="D487" t="s">
        <v>0</v>
      </c>
      <c r="E487">
        <v>50</v>
      </c>
      <c r="G487" s="12">
        <v>8.5299999999999994</v>
      </c>
      <c r="H487" s="12">
        <f t="shared" si="20"/>
        <v>426.49999999999994</v>
      </c>
      <c r="I487" s="12">
        <f t="shared" si="21"/>
        <v>0</v>
      </c>
    </row>
    <row r="488" spans="1:9" outlineLevel="1" x14ac:dyDescent="0.25">
      <c r="A488" t="s">
        <v>917</v>
      </c>
      <c r="B488" t="s">
        <v>103</v>
      </c>
      <c r="C488" t="s">
        <v>918</v>
      </c>
      <c r="D488" t="s">
        <v>0</v>
      </c>
      <c r="E488">
        <v>10</v>
      </c>
      <c r="G488" s="12">
        <v>6.57</v>
      </c>
      <c r="H488" s="12">
        <f t="shared" si="20"/>
        <v>65.7</v>
      </c>
      <c r="I488" s="12">
        <f t="shared" si="21"/>
        <v>0</v>
      </c>
    </row>
    <row r="489" spans="1:9" outlineLevel="1" x14ac:dyDescent="0.25">
      <c r="A489" t="s">
        <v>919</v>
      </c>
      <c r="B489" t="s">
        <v>103</v>
      </c>
      <c r="C489" t="s">
        <v>920</v>
      </c>
      <c r="D489" t="s">
        <v>0</v>
      </c>
      <c r="E489">
        <v>50</v>
      </c>
      <c r="G489" s="12">
        <v>6.57</v>
      </c>
      <c r="H489" s="12">
        <f t="shared" si="20"/>
        <v>328.5</v>
      </c>
      <c r="I489" s="12">
        <f t="shared" si="21"/>
        <v>0</v>
      </c>
    </row>
    <row r="490" spans="1:9" outlineLevel="1" x14ac:dyDescent="0.25">
      <c r="A490" t="s">
        <v>921</v>
      </c>
      <c r="B490" t="s">
        <v>103</v>
      </c>
      <c r="C490" t="s">
        <v>922</v>
      </c>
      <c r="D490" t="s">
        <v>0</v>
      </c>
      <c r="E490">
        <v>10</v>
      </c>
      <c r="G490" s="12">
        <v>6.57</v>
      </c>
      <c r="H490" s="12">
        <f t="shared" ref="H490:H522" si="22">SUM(E490*G490)</f>
        <v>65.7</v>
      </c>
      <c r="I490" s="12">
        <f t="shared" ref="I490:I522" si="23">G490*F490</f>
        <v>0</v>
      </c>
    </row>
    <row r="491" spans="1:9" outlineLevel="1" x14ac:dyDescent="0.25">
      <c r="A491" t="s">
        <v>923</v>
      </c>
      <c r="B491" t="s">
        <v>103</v>
      </c>
      <c r="C491" t="s">
        <v>924</v>
      </c>
      <c r="D491" t="s">
        <v>0</v>
      </c>
      <c r="E491">
        <v>50</v>
      </c>
      <c r="G491" s="12">
        <v>6.57</v>
      </c>
      <c r="H491" s="12">
        <f t="shared" si="22"/>
        <v>328.5</v>
      </c>
      <c r="I491" s="12">
        <f t="shared" si="23"/>
        <v>0</v>
      </c>
    </row>
    <row r="492" spans="1:9" outlineLevel="1" x14ac:dyDescent="0.25">
      <c r="A492" t="s">
        <v>925</v>
      </c>
      <c r="B492" t="s">
        <v>103</v>
      </c>
      <c r="C492" t="s">
        <v>926</v>
      </c>
      <c r="D492" t="s">
        <v>0</v>
      </c>
      <c r="E492">
        <v>10</v>
      </c>
      <c r="G492" s="12">
        <v>6.57</v>
      </c>
      <c r="H492" s="12">
        <f t="shared" si="22"/>
        <v>65.7</v>
      </c>
      <c r="I492" s="12">
        <f t="shared" si="23"/>
        <v>0</v>
      </c>
    </row>
    <row r="493" spans="1:9" outlineLevel="1" x14ac:dyDescent="0.25">
      <c r="A493" t="s">
        <v>927</v>
      </c>
      <c r="B493" t="s">
        <v>103</v>
      </c>
      <c r="C493" t="s">
        <v>928</v>
      </c>
      <c r="D493" t="s">
        <v>0</v>
      </c>
      <c r="E493">
        <v>205</v>
      </c>
      <c r="G493" s="12">
        <v>11.09</v>
      </c>
      <c r="H493" s="12">
        <f t="shared" si="22"/>
        <v>2273.4499999999998</v>
      </c>
      <c r="I493" s="12">
        <f t="shared" si="23"/>
        <v>0</v>
      </c>
    </row>
    <row r="494" spans="1:9" outlineLevel="1" x14ac:dyDescent="0.25">
      <c r="A494" s="8" t="s">
        <v>929</v>
      </c>
      <c r="B494" s="8"/>
      <c r="C494" s="8" t="s">
        <v>930</v>
      </c>
      <c r="D494" s="8"/>
      <c r="E494" s="8"/>
      <c r="F494" s="8"/>
      <c r="G494" s="14"/>
      <c r="H494" s="14"/>
      <c r="I494" s="14"/>
    </row>
    <row r="495" spans="1:9" outlineLevel="1" x14ac:dyDescent="0.25">
      <c r="A495" s="8"/>
      <c r="B495" s="8"/>
      <c r="C495" s="8"/>
      <c r="D495" s="8"/>
      <c r="E495" s="8"/>
      <c r="F495" s="8"/>
      <c r="G495" s="14"/>
      <c r="H495" s="14"/>
      <c r="I495" s="14"/>
    </row>
    <row r="496" spans="1:9" outlineLevel="1" x14ac:dyDescent="0.25">
      <c r="A496" t="s">
        <v>931</v>
      </c>
      <c r="B496" t="s">
        <v>103</v>
      </c>
      <c r="C496" t="s">
        <v>932</v>
      </c>
      <c r="D496" t="s">
        <v>6</v>
      </c>
      <c r="E496">
        <v>2</v>
      </c>
      <c r="G496" s="12">
        <v>238.59</v>
      </c>
      <c r="H496" s="12">
        <f t="shared" si="22"/>
        <v>477.18</v>
      </c>
      <c r="I496" s="12">
        <f t="shared" si="23"/>
        <v>0</v>
      </c>
    </row>
    <row r="497" spans="1:9" outlineLevel="1" x14ac:dyDescent="0.25">
      <c r="A497" t="s">
        <v>933</v>
      </c>
      <c r="B497" t="s">
        <v>103</v>
      </c>
      <c r="C497" t="s">
        <v>934</v>
      </c>
      <c r="D497" t="s">
        <v>6</v>
      </c>
      <c r="E497">
        <v>2</v>
      </c>
      <c r="G497" s="12">
        <v>309.22000000000003</v>
      </c>
      <c r="H497" s="12">
        <f t="shared" si="22"/>
        <v>618.44000000000005</v>
      </c>
      <c r="I497" s="12">
        <f t="shared" si="23"/>
        <v>0</v>
      </c>
    </row>
    <row r="498" spans="1:9" outlineLevel="1" x14ac:dyDescent="0.25">
      <c r="A498" t="s">
        <v>935</v>
      </c>
      <c r="B498" t="s">
        <v>103</v>
      </c>
      <c r="C498" t="s">
        <v>936</v>
      </c>
      <c r="D498" t="s">
        <v>6</v>
      </c>
      <c r="E498">
        <v>3</v>
      </c>
      <c r="G498" s="12">
        <v>419.09</v>
      </c>
      <c r="H498" s="12">
        <f t="shared" si="22"/>
        <v>1257.27</v>
      </c>
      <c r="I498" s="12">
        <f t="shared" si="23"/>
        <v>0</v>
      </c>
    </row>
    <row r="499" spans="1:9" outlineLevel="1" x14ac:dyDescent="0.25">
      <c r="A499" t="s">
        <v>937</v>
      </c>
      <c r="B499" t="s">
        <v>103</v>
      </c>
      <c r="C499" t="s">
        <v>938</v>
      </c>
      <c r="D499" t="s">
        <v>6</v>
      </c>
      <c r="E499">
        <v>1</v>
      </c>
      <c r="G499" s="12">
        <v>26.72</v>
      </c>
      <c r="H499" s="12">
        <f t="shared" si="22"/>
        <v>26.72</v>
      </c>
      <c r="I499" s="12">
        <f t="shared" si="23"/>
        <v>0</v>
      </c>
    </row>
    <row r="500" spans="1:9" outlineLevel="1" x14ac:dyDescent="0.25">
      <c r="A500" t="s">
        <v>939</v>
      </c>
      <c r="B500" t="s">
        <v>103</v>
      </c>
      <c r="C500" t="s">
        <v>940</v>
      </c>
      <c r="D500" t="s">
        <v>6</v>
      </c>
      <c r="E500">
        <v>1</v>
      </c>
      <c r="G500" s="12">
        <v>20.91</v>
      </c>
      <c r="H500" s="12">
        <f t="shared" si="22"/>
        <v>20.91</v>
      </c>
      <c r="I500" s="12">
        <f t="shared" si="23"/>
        <v>0</v>
      </c>
    </row>
    <row r="501" spans="1:9" outlineLevel="1" x14ac:dyDescent="0.25">
      <c r="A501" t="s">
        <v>941</v>
      </c>
      <c r="B501" t="s">
        <v>103</v>
      </c>
      <c r="C501" t="s">
        <v>942</v>
      </c>
      <c r="D501" t="s">
        <v>6</v>
      </c>
      <c r="E501">
        <v>1</v>
      </c>
      <c r="G501" s="12">
        <v>24.62</v>
      </c>
      <c r="H501" s="12">
        <f t="shared" si="22"/>
        <v>24.62</v>
      </c>
      <c r="I501" s="12">
        <f t="shared" si="23"/>
        <v>0</v>
      </c>
    </row>
    <row r="502" spans="1:9" outlineLevel="1" x14ac:dyDescent="0.25">
      <c r="A502" t="s">
        <v>943</v>
      </c>
      <c r="B502" t="s">
        <v>103</v>
      </c>
      <c r="C502" t="s">
        <v>944</v>
      </c>
      <c r="D502" t="s">
        <v>6</v>
      </c>
      <c r="E502">
        <v>4</v>
      </c>
      <c r="G502" s="12">
        <v>63.99</v>
      </c>
      <c r="H502" s="12">
        <f t="shared" si="22"/>
        <v>255.96</v>
      </c>
      <c r="I502" s="12">
        <f t="shared" si="23"/>
        <v>0</v>
      </c>
    </row>
    <row r="503" spans="1:9" outlineLevel="1" x14ac:dyDescent="0.25">
      <c r="A503" s="8" t="s">
        <v>945</v>
      </c>
      <c r="B503" s="8"/>
      <c r="C503" s="8" t="s">
        <v>946</v>
      </c>
      <c r="D503" s="8"/>
      <c r="E503" s="8"/>
      <c r="F503" s="8"/>
      <c r="G503" s="14"/>
      <c r="H503" s="14"/>
      <c r="I503" s="14"/>
    </row>
    <row r="504" spans="1:9" outlineLevel="1" x14ac:dyDescent="0.25">
      <c r="A504" s="8"/>
      <c r="B504" s="8"/>
      <c r="C504" s="8"/>
      <c r="D504" s="8"/>
      <c r="E504" s="8"/>
      <c r="F504" s="8"/>
      <c r="G504" s="14"/>
      <c r="H504" s="14"/>
      <c r="I504" s="14"/>
    </row>
    <row r="505" spans="1:9" outlineLevel="1" x14ac:dyDescent="0.25">
      <c r="A505" t="s">
        <v>947</v>
      </c>
      <c r="B505" t="s">
        <v>103</v>
      </c>
      <c r="C505" t="s">
        <v>948</v>
      </c>
      <c r="D505" t="s">
        <v>6</v>
      </c>
      <c r="E505">
        <v>1</v>
      </c>
      <c r="G505" s="12">
        <v>1888.38</v>
      </c>
      <c r="H505" s="12">
        <f t="shared" si="22"/>
        <v>1888.38</v>
      </c>
      <c r="I505" s="12">
        <f t="shared" si="23"/>
        <v>0</v>
      </c>
    </row>
    <row r="506" spans="1:9" outlineLevel="1" x14ac:dyDescent="0.25">
      <c r="A506" t="s">
        <v>949</v>
      </c>
      <c r="B506" t="s">
        <v>103</v>
      </c>
      <c r="C506" t="s">
        <v>950</v>
      </c>
      <c r="D506" t="s">
        <v>6</v>
      </c>
      <c r="E506">
        <v>1</v>
      </c>
      <c r="G506" s="12">
        <v>1406.94</v>
      </c>
      <c r="H506" s="12">
        <f t="shared" si="22"/>
        <v>1406.94</v>
      </c>
      <c r="I506" s="12">
        <f t="shared" si="23"/>
        <v>0</v>
      </c>
    </row>
    <row r="507" spans="1:9" outlineLevel="1" x14ac:dyDescent="0.25">
      <c r="A507" t="s">
        <v>951</v>
      </c>
      <c r="B507" t="s">
        <v>103</v>
      </c>
      <c r="C507" t="s">
        <v>952</v>
      </c>
      <c r="D507" t="s">
        <v>6</v>
      </c>
      <c r="E507">
        <v>3</v>
      </c>
      <c r="G507" s="12">
        <v>109.08</v>
      </c>
      <c r="H507" s="12">
        <f t="shared" si="22"/>
        <v>327.24</v>
      </c>
      <c r="I507" s="12">
        <f t="shared" si="23"/>
        <v>0</v>
      </c>
    </row>
    <row r="508" spans="1:9" outlineLevel="1" x14ac:dyDescent="0.25">
      <c r="A508" t="s">
        <v>953</v>
      </c>
      <c r="B508" t="s">
        <v>103</v>
      </c>
      <c r="C508" t="s">
        <v>954</v>
      </c>
      <c r="D508" t="s">
        <v>6</v>
      </c>
      <c r="E508">
        <v>2</v>
      </c>
      <c r="G508" s="12">
        <v>54.03</v>
      </c>
      <c r="H508" s="12">
        <f t="shared" si="22"/>
        <v>108.06</v>
      </c>
      <c r="I508" s="12">
        <f t="shared" si="23"/>
        <v>0</v>
      </c>
    </row>
    <row r="509" spans="1:9" outlineLevel="1" x14ac:dyDescent="0.25">
      <c r="A509" t="s">
        <v>955</v>
      </c>
      <c r="B509" t="s">
        <v>103</v>
      </c>
      <c r="C509" t="s">
        <v>956</v>
      </c>
      <c r="D509" t="s">
        <v>6</v>
      </c>
      <c r="E509">
        <v>2</v>
      </c>
      <c r="G509" s="12">
        <v>72.06</v>
      </c>
      <c r="H509" s="12">
        <f t="shared" si="22"/>
        <v>144.12</v>
      </c>
      <c r="I509" s="12">
        <f t="shared" si="23"/>
        <v>0</v>
      </c>
    </row>
    <row r="510" spans="1:9" outlineLevel="1" x14ac:dyDescent="0.25">
      <c r="A510" t="s">
        <v>957</v>
      </c>
      <c r="B510" t="s">
        <v>103</v>
      </c>
      <c r="C510" t="s">
        <v>958</v>
      </c>
      <c r="D510" t="s">
        <v>6</v>
      </c>
      <c r="E510">
        <v>16</v>
      </c>
      <c r="G510" s="12">
        <v>16.23</v>
      </c>
      <c r="H510" s="12">
        <f t="shared" si="22"/>
        <v>259.68</v>
      </c>
      <c r="I510" s="12">
        <f t="shared" si="23"/>
        <v>0</v>
      </c>
    </row>
    <row r="511" spans="1:9" outlineLevel="1" x14ac:dyDescent="0.25">
      <c r="A511" t="s">
        <v>959</v>
      </c>
      <c r="B511" t="s">
        <v>103</v>
      </c>
      <c r="C511" t="s">
        <v>960</v>
      </c>
      <c r="D511" t="s">
        <v>6</v>
      </c>
      <c r="E511">
        <v>284</v>
      </c>
      <c r="G511" s="12">
        <v>4.7</v>
      </c>
      <c r="H511" s="12">
        <f t="shared" si="22"/>
        <v>1334.8</v>
      </c>
      <c r="I511" s="12">
        <f t="shared" si="23"/>
        <v>0</v>
      </c>
    </row>
    <row r="512" spans="1:9" outlineLevel="1" x14ac:dyDescent="0.25">
      <c r="A512" t="s">
        <v>961</v>
      </c>
      <c r="B512" t="s">
        <v>103</v>
      </c>
      <c r="C512" t="s">
        <v>962</v>
      </c>
      <c r="D512" t="s">
        <v>0</v>
      </c>
      <c r="E512">
        <v>50</v>
      </c>
      <c r="G512" s="12">
        <v>3.2</v>
      </c>
      <c r="H512" s="12">
        <f t="shared" si="22"/>
        <v>160</v>
      </c>
      <c r="I512" s="12">
        <f t="shared" si="23"/>
        <v>0</v>
      </c>
    </row>
    <row r="513" spans="1:9" outlineLevel="1" x14ac:dyDescent="0.25">
      <c r="A513" t="s">
        <v>963</v>
      </c>
      <c r="B513" t="s">
        <v>103</v>
      </c>
      <c r="C513" t="s">
        <v>964</v>
      </c>
      <c r="D513" t="s">
        <v>0</v>
      </c>
      <c r="E513">
        <v>450</v>
      </c>
      <c r="G513" s="12">
        <v>3.2</v>
      </c>
      <c r="H513" s="12">
        <f t="shared" si="22"/>
        <v>1440</v>
      </c>
      <c r="I513" s="12">
        <f t="shared" si="23"/>
        <v>0</v>
      </c>
    </row>
    <row r="514" spans="1:9" outlineLevel="1" x14ac:dyDescent="0.25">
      <c r="A514" t="s">
        <v>965</v>
      </c>
      <c r="B514" t="s">
        <v>103</v>
      </c>
      <c r="C514" t="s">
        <v>966</v>
      </c>
      <c r="D514" t="s">
        <v>0</v>
      </c>
      <c r="E514">
        <v>900</v>
      </c>
      <c r="G514" s="12">
        <v>3.2</v>
      </c>
      <c r="H514" s="12">
        <f t="shared" si="22"/>
        <v>2880</v>
      </c>
      <c r="I514" s="12">
        <f t="shared" si="23"/>
        <v>0</v>
      </c>
    </row>
    <row r="515" spans="1:9" outlineLevel="1" x14ac:dyDescent="0.25">
      <c r="A515" t="s">
        <v>967</v>
      </c>
      <c r="B515" t="s">
        <v>103</v>
      </c>
      <c r="C515" t="s">
        <v>968</v>
      </c>
      <c r="D515" t="s">
        <v>0</v>
      </c>
      <c r="E515">
        <v>50</v>
      </c>
      <c r="G515" s="12">
        <v>3.2</v>
      </c>
      <c r="H515" s="12">
        <f t="shared" si="22"/>
        <v>160</v>
      </c>
      <c r="I515" s="12">
        <f t="shared" si="23"/>
        <v>0</v>
      </c>
    </row>
    <row r="516" spans="1:9" outlineLevel="1" x14ac:dyDescent="0.25">
      <c r="A516" t="s">
        <v>969</v>
      </c>
      <c r="B516" t="s">
        <v>103</v>
      </c>
      <c r="C516" t="s">
        <v>970</v>
      </c>
      <c r="D516" t="s">
        <v>0</v>
      </c>
      <c r="E516">
        <v>800</v>
      </c>
      <c r="G516" s="12">
        <v>3.2</v>
      </c>
      <c r="H516" s="12">
        <f t="shared" si="22"/>
        <v>2560</v>
      </c>
      <c r="I516" s="12">
        <f t="shared" si="23"/>
        <v>0</v>
      </c>
    </row>
    <row r="517" spans="1:9" outlineLevel="1" x14ac:dyDescent="0.25">
      <c r="A517" t="s">
        <v>971</v>
      </c>
      <c r="B517" t="s">
        <v>103</v>
      </c>
      <c r="C517" t="s">
        <v>972</v>
      </c>
      <c r="D517" t="s">
        <v>6</v>
      </c>
      <c r="E517">
        <v>146</v>
      </c>
      <c r="G517" s="12">
        <v>10.83</v>
      </c>
      <c r="H517" s="12">
        <f t="shared" si="22"/>
        <v>1581.18</v>
      </c>
      <c r="I517" s="12">
        <f t="shared" si="23"/>
        <v>0</v>
      </c>
    </row>
    <row r="518" spans="1:9" outlineLevel="1" x14ac:dyDescent="0.25">
      <c r="A518" t="s">
        <v>973</v>
      </c>
      <c r="B518" t="s">
        <v>103</v>
      </c>
      <c r="C518" t="s">
        <v>974</v>
      </c>
      <c r="D518" t="s">
        <v>6</v>
      </c>
      <c r="E518">
        <v>568</v>
      </c>
      <c r="G518" s="12">
        <v>11.96</v>
      </c>
      <c r="H518" s="12">
        <f t="shared" si="22"/>
        <v>6793.2800000000007</v>
      </c>
      <c r="I518" s="12">
        <f t="shared" si="23"/>
        <v>0</v>
      </c>
    </row>
    <row r="519" spans="1:9" outlineLevel="1" x14ac:dyDescent="0.25">
      <c r="A519" t="s">
        <v>975</v>
      </c>
      <c r="B519" t="s">
        <v>103</v>
      </c>
      <c r="C519" t="s">
        <v>976</v>
      </c>
      <c r="D519" t="s">
        <v>6</v>
      </c>
      <c r="E519">
        <v>26</v>
      </c>
      <c r="G519" s="12">
        <v>46.81</v>
      </c>
      <c r="H519" s="12">
        <f t="shared" si="22"/>
        <v>1217.06</v>
      </c>
      <c r="I519" s="12">
        <f t="shared" si="23"/>
        <v>0</v>
      </c>
    </row>
    <row r="520" spans="1:9" outlineLevel="1" x14ac:dyDescent="0.25">
      <c r="A520" t="s">
        <v>977</v>
      </c>
      <c r="B520" t="s">
        <v>103</v>
      </c>
      <c r="C520" t="s">
        <v>978</v>
      </c>
      <c r="D520" t="s">
        <v>6</v>
      </c>
      <c r="E520">
        <v>2</v>
      </c>
      <c r="G520" s="12">
        <v>150.33000000000001</v>
      </c>
      <c r="H520" s="12">
        <f t="shared" si="22"/>
        <v>300.66000000000003</v>
      </c>
      <c r="I520" s="12">
        <f t="shared" si="23"/>
        <v>0</v>
      </c>
    </row>
    <row r="521" spans="1:9" outlineLevel="1" x14ac:dyDescent="0.25">
      <c r="A521" t="s">
        <v>979</v>
      </c>
      <c r="B521" t="s">
        <v>103</v>
      </c>
      <c r="C521" t="s">
        <v>980</v>
      </c>
      <c r="D521" t="s">
        <v>141</v>
      </c>
      <c r="E521">
        <v>1</v>
      </c>
      <c r="G521" s="12">
        <v>3450</v>
      </c>
      <c r="H521" s="12">
        <f t="shared" si="22"/>
        <v>3450</v>
      </c>
      <c r="I521" s="12">
        <f t="shared" si="23"/>
        <v>0</v>
      </c>
    </row>
    <row r="522" spans="1:9" outlineLevel="1" x14ac:dyDescent="0.25">
      <c r="A522" t="s">
        <v>981</v>
      </c>
      <c r="B522" t="s">
        <v>103</v>
      </c>
      <c r="C522" t="s">
        <v>778</v>
      </c>
      <c r="D522" t="s">
        <v>141</v>
      </c>
      <c r="E522">
        <v>1</v>
      </c>
      <c r="G522" s="12">
        <v>650</v>
      </c>
      <c r="H522" s="12">
        <f t="shared" si="22"/>
        <v>650</v>
      </c>
      <c r="I522" s="12">
        <f t="shared" si="23"/>
        <v>0</v>
      </c>
    </row>
    <row r="523" spans="1:9" x14ac:dyDescent="0.25">
      <c r="A523" s="9">
        <v>3</v>
      </c>
      <c r="B523" s="9"/>
      <c r="C523" s="9" t="s">
        <v>982</v>
      </c>
      <c r="D523" s="9"/>
      <c r="E523" s="9"/>
      <c r="F523" s="9"/>
      <c r="G523" s="13"/>
      <c r="H523" s="13">
        <f>SUM(H524:H548)</f>
        <v>76116.31</v>
      </c>
      <c r="I523" s="13">
        <f>SUM(I524:I548)</f>
        <v>0</v>
      </c>
    </row>
    <row r="524" spans="1:9" outlineLevel="1" x14ac:dyDescent="0.25">
      <c r="A524" s="8" t="s">
        <v>983</v>
      </c>
      <c r="B524" s="8"/>
      <c r="C524" s="8" t="s">
        <v>984</v>
      </c>
      <c r="D524" s="8"/>
      <c r="E524" s="8"/>
      <c r="F524" s="8"/>
      <c r="G524" s="14"/>
      <c r="H524" s="14"/>
      <c r="I524" s="14"/>
    </row>
    <row r="525" spans="1:9" outlineLevel="1" x14ac:dyDescent="0.25">
      <c r="A525" s="8" t="s">
        <v>985</v>
      </c>
      <c r="B525" s="8"/>
      <c r="C525" s="8" t="s">
        <v>984</v>
      </c>
      <c r="D525" s="8"/>
      <c r="E525" s="8"/>
      <c r="F525" s="8"/>
      <c r="G525" s="14"/>
      <c r="H525" s="14"/>
      <c r="I525" s="14"/>
    </row>
    <row r="526" spans="1:9" outlineLevel="1" x14ac:dyDescent="0.25">
      <c r="A526" s="8"/>
      <c r="B526" s="8"/>
      <c r="C526" s="8" t="s">
        <v>986</v>
      </c>
      <c r="D526" s="8"/>
      <c r="E526" s="8"/>
      <c r="F526" s="8"/>
      <c r="G526" s="14"/>
      <c r="H526" s="14"/>
      <c r="I526" s="14"/>
    </row>
    <row r="527" spans="1:9" outlineLevel="1" x14ac:dyDescent="0.25">
      <c r="A527" t="s">
        <v>987</v>
      </c>
      <c r="B527" t="s">
        <v>103</v>
      </c>
      <c r="C527" t="s">
        <v>988</v>
      </c>
      <c r="D527" t="s">
        <v>6</v>
      </c>
      <c r="E527">
        <v>8</v>
      </c>
      <c r="G527" s="12">
        <v>237.74</v>
      </c>
      <c r="H527" s="12">
        <f>SUM(E527*G527)</f>
        <v>1901.92</v>
      </c>
      <c r="I527" s="12">
        <f>G527*F527</f>
        <v>0</v>
      </c>
    </row>
    <row r="528" spans="1:9" outlineLevel="1" x14ac:dyDescent="0.25">
      <c r="A528" t="s">
        <v>989</v>
      </c>
      <c r="B528" t="s">
        <v>103</v>
      </c>
      <c r="C528" t="s">
        <v>990</v>
      </c>
      <c r="D528" t="s">
        <v>6</v>
      </c>
      <c r="E528">
        <v>2</v>
      </c>
      <c r="G528" s="12">
        <v>291.74</v>
      </c>
      <c r="H528" s="12">
        <f t="shared" ref="H528:H548" si="24">SUM(E528*G528)</f>
        <v>583.48</v>
      </c>
      <c r="I528" s="12">
        <f t="shared" ref="I528:I548" si="25">G528*F528</f>
        <v>0</v>
      </c>
    </row>
    <row r="529" spans="1:9" outlineLevel="1" x14ac:dyDescent="0.25">
      <c r="A529" t="s">
        <v>991</v>
      </c>
      <c r="B529" t="s">
        <v>103</v>
      </c>
      <c r="C529" t="s">
        <v>992</v>
      </c>
      <c r="D529" t="s">
        <v>6</v>
      </c>
      <c r="E529">
        <v>9</v>
      </c>
      <c r="G529" s="12">
        <v>222.02</v>
      </c>
      <c r="H529" s="12">
        <f t="shared" si="24"/>
        <v>1998.18</v>
      </c>
      <c r="I529" s="12">
        <f t="shared" si="25"/>
        <v>0</v>
      </c>
    </row>
    <row r="530" spans="1:9" outlineLevel="1" x14ac:dyDescent="0.25">
      <c r="A530" t="s">
        <v>993</v>
      </c>
      <c r="B530" t="s">
        <v>103</v>
      </c>
      <c r="C530" t="s">
        <v>994</v>
      </c>
      <c r="D530" t="s">
        <v>6</v>
      </c>
      <c r="E530">
        <v>6</v>
      </c>
      <c r="G530" s="12">
        <v>544.52</v>
      </c>
      <c r="H530" s="12">
        <f t="shared" si="24"/>
        <v>3267.12</v>
      </c>
      <c r="I530" s="12">
        <f t="shared" si="25"/>
        <v>0</v>
      </c>
    </row>
    <row r="531" spans="1:9" outlineLevel="1" x14ac:dyDescent="0.25">
      <c r="A531" t="s">
        <v>995</v>
      </c>
      <c r="B531" t="s">
        <v>103</v>
      </c>
      <c r="C531" t="s">
        <v>996</v>
      </c>
      <c r="D531" t="s">
        <v>6</v>
      </c>
      <c r="E531">
        <v>12</v>
      </c>
      <c r="G531" s="12">
        <v>421.49</v>
      </c>
      <c r="H531" s="12">
        <f t="shared" si="24"/>
        <v>5057.88</v>
      </c>
      <c r="I531" s="12">
        <f t="shared" si="25"/>
        <v>0</v>
      </c>
    </row>
    <row r="532" spans="1:9" outlineLevel="1" x14ac:dyDescent="0.25">
      <c r="A532" t="s">
        <v>997</v>
      </c>
      <c r="B532" t="s">
        <v>103</v>
      </c>
      <c r="C532" t="s">
        <v>998</v>
      </c>
      <c r="D532" t="s">
        <v>6</v>
      </c>
      <c r="E532">
        <v>8</v>
      </c>
      <c r="G532" s="12">
        <v>221.24</v>
      </c>
      <c r="H532" s="12">
        <f t="shared" si="24"/>
        <v>1769.92</v>
      </c>
      <c r="I532" s="12">
        <f t="shared" si="25"/>
        <v>0</v>
      </c>
    </row>
    <row r="533" spans="1:9" outlineLevel="1" x14ac:dyDescent="0.25">
      <c r="A533" t="s">
        <v>999</v>
      </c>
      <c r="B533" t="s">
        <v>103</v>
      </c>
      <c r="C533" t="s">
        <v>1000</v>
      </c>
      <c r="D533" t="s">
        <v>6</v>
      </c>
      <c r="E533">
        <v>14</v>
      </c>
      <c r="G533" s="12">
        <v>434.12</v>
      </c>
      <c r="H533" s="12">
        <f t="shared" si="24"/>
        <v>6077.68</v>
      </c>
      <c r="I533" s="12">
        <f t="shared" si="25"/>
        <v>0</v>
      </c>
    </row>
    <row r="534" spans="1:9" outlineLevel="1" x14ac:dyDescent="0.25">
      <c r="A534" t="s">
        <v>1001</v>
      </c>
      <c r="B534" t="s">
        <v>103</v>
      </c>
      <c r="C534" t="s">
        <v>1002</v>
      </c>
      <c r="D534" t="s">
        <v>6</v>
      </c>
      <c r="E534">
        <v>12</v>
      </c>
      <c r="G534" s="12">
        <v>417.71</v>
      </c>
      <c r="H534" s="12">
        <f t="shared" si="24"/>
        <v>5012.5199999999995</v>
      </c>
      <c r="I534" s="12">
        <f t="shared" si="25"/>
        <v>0</v>
      </c>
    </row>
    <row r="535" spans="1:9" outlineLevel="1" x14ac:dyDescent="0.25">
      <c r="A535" t="s">
        <v>1003</v>
      </c>
      <c r="B535" t="s">
        <v>103</v>
      </c>
      <c r="C535" t="s">
        <v>1004</v>
      </c>
      <c r="D535" t="s">
        <v>6</v>
      </c>
      <c r="E535">
        <v>70</v>
      </c>
      <c r="G535" s="12">
        <v>165.85</v>
      </c>
      <c r="H535" s="12">
        <f t="shared" si="24"/>
        <v>11609.5</v>
      </c>
      <c r="I535" s="12">
        <f t="shared" si="25"/>
        <v>0</v>
      </c>
    </row>
    <row r="536" spans="1:9" outlineLevel="1" x14ac:dyDescent="0.25">
      <c r="A536" t="s">
        <v>1005</v>
      </c>
      <c r="B536" t="s">
        <v>103</v>
      </c>
      <c r="C536" t="s">
        <v>1006</v>
      </c>
      <c r="D536" t="s">
        <v>6</v>
      </c>
      <c r="E536">
        <v>20</v>
      </c>
      <c r="G536" s="12">
        <v>225.52</v>
      </c>
      <c r="H536" s="12">
        <f t="shared" si="24"/>
        <v>4510.4000000000005</v>
      </c>
      <c r="I536" s="12">
        <f t="shared" si="25"/>
        <v>0</v>
      </c>
    </row>
    <row r="537" spans="1:9" outlineLevel="1" x14ac:dyDescent="0.25">
      <c r="A537" t="s">
        <v>1007</v>
      </c>
      <c r="B537" t="s">
        <v>103</v>
      </c>
      <c r="C537" t="s">
        <v>1008</v>
      </c>
      <c r="D537" t="s">
        <v>6</v>
      </c>
      <c r="E537">
        <v>4</v>
      </c>
      <c r="G537" s="12">
        <v>276.86</v>
      </c>
      <c r="H537" s="12">
        <f t="shared" si="24"/>
        <v>1107.44</v>
      </c>
      <c r="I537" s="12">
        <f t="shared" si="25"/>
        <v>0</v>
      </c>
    </row>
    <row r="538" spans="1:9" outlineLevel="1" x14ac:dyDescent="0.25">
      <c r="A538" t="s">
        <v>1009</v>
      </c>
      <c r="B538" t="s">
        <v>103</v>
      </c>
      <c r="C538" t="s">
        <v>1010</v>
      </c>
      <c r="D538" t="s">
        <v>6</v>
      </c>
      <c r="E538">
        <v>48</v>
      </c>
      <c r="G538" s="12">
        <v>403.85</v>
      </c>
      <c r="H538" s="12">
        <f t="shared" si="24"/>
        <v>19384.800000000003</v>
      </c>
      <c r="I538" s="12">
        <f t="shared" si="25"/>
        <v>0</v>
      </c>
    </row>
    <row r="539" spans="1:9" outlineLevel="1" x14ac:dyDescent="0.25">
      <c r="A539" t="s">
        <v>1011</v>
      </c>
      <c r="B539" t="s">
        <v>103</v>
      </c>
      <c r="C539" t="s">
        <v>1012</v>
      </c>
      <c r="D539" t="s">
        <v>6</v>
      </c>
      <c r="E539">
        <v>1</v>
      </c>
      <c r="G539" s="12">
        <v>656.2</v>
      </c>
      <c r="H539" s="12">
        <f t="shared" si="24"/>
        <v>656.2</v>
      </c>
      <c r="I539" s="12">
        <f t="shared" si="25"/>
        <v>0</v>
      </c>
    </row>
    <row r="540" spans="1:9" outlineLevel="1" x14ac:dyDescent="0.25">
      <c r="A540" s="8"/>
      <c r="B540" s="8"/>
      <c r="C540" s="8" t="s">
        <v>1013</v>
      </c>
      <c r="D540" s="8"/>
      <c r="E540" s="8"/>
      <c r="F540" s="8"/>
      <c r="G540" s="14"/>
      <c r="H540" s="14"/>
      <c r="I540" s="14"/>
    </row>
    <row r="541" spans="1:9" outlineLevel="1" x14ac:dyDescent="0.25">
      <c r="A541" t="s">
        <v>1014</v>
      </c>
      <c r="B541" t="s">
        <v>103</v>
      </c>
      <c r="C541" t="s">
        <v>1015</v>
      </c>
      <c r="D541" t="s">
        <v>6</v>
      </c>
      <c r="E541">
        <v>2</v>
      </c>
      <c r="G541" s="12">
        <v>1495.42</v>
      </c>
      <c r="H541" s="12">
        <f t="shared" si="24"/>
        <v>2990.84</v>
      </c>
      <c r="I541" s="12">
        <f t="shared" si="25"/>
        <v>0</v>
      </c>
    </row>
    <row r="542" spans="1:9" outlineLevel="1" x14ac:dyDescent="0.25">
      <c r="A542" t="s">
        <v>1016</v>
      </c>
      <c r="B542" t="s">
        <v>103</v>
      </c>
      <c r="C542" t="s">
        <v>1017</v>
      </c>
      <c r="D542" t="s">
        <v>6</v>
      </c>
      <c r="E542">
        <v>1</v>
      </c>
      <c r="G542" s="12">
        <v>1057.43</v>
      </c>
      <c r="H542" s="12">
        <f t="shared" si="24"/>
        <v>1057.43</v>
      </c>
      <c r="I542" s="12">
        <f t="shared" si="25"/>
        <v>0</v>
      </c>
    </row>
    <row r="543" spans="1:9" outlineLevel="1" x14ac:dyDescent="0.25">
      <c r="A543" s="8"/>
      <c r="B543" s="8"/>
      <c r="C543" s="8" t="s">
        <v>1018</v>
      </c>
      <c r="D543" s="8"/>
      <c r="E543" s="8"/>
      <c r="F543" s="8"/>
      <c r="G543" s="14"/>
      <c r="H543" s="14"/>
      <c r="I543" s="14"/>
    </row>
    <row r="544" spans="1:9" outlineLevel="1" x14ac:dyDescent="0.25">
      <c r="A544" t="s">
        <v>1019</v>
      </c>
      <c r="B544" t="s">
        <v>103</v>
      </c>
      <c r="C544" t="s">
        <v>1020</v>
      </c>
      <c r="D544" t="s">
        <v>0</v>
      </c>
      <c r="E544">
        <v>150</v>
      </c>
      <c r="G544" s="12">
        <v>3.1</v>
      </c>
      <c r="H544" s="12">
        <f t="shared" si="24"/>
        <v>465</v>
      </c>
      <c r="I544" s="12">
        <f t="shared" si="25"/>
        <v>0</v>
      </c>
    </row>
    <row r="545" spans="1:9" outlineLevel="1" x14ac:dyDescent="0.25">
      <c r="A545" t="s">
        <v>1021</v>
      </c>
      <c r="B545" t="s">
        <v>103</v>
      </c>
      <c r="C545" t="s">
        <v>1022</v>
      </c>
      <c r="D545" t="s">
        <v>0</v>
      </c>
      <c r="E545" s="4">
        <v>1200</v>
      </c>
      <c r="G545" s="12">
        <v>3.1</v>
      </c>
      <c r="H545" s="12">
        <f t="shared" si="24"/>
        <v>3720</v>
      </c>
      <c r="I545" s="12">
        <f t="shared" si="25"/>
        <v>0</v>
      </c>
    </row>
    <row r="546" spans="1:9" outlineLevel="1" x14ac:dyDescent="0.25">
      <c r="A546" t="s">
        <v>1023</v>
      </c>
      <c r="B546" t="s">
        <v>103</v>
      </c>
      <c r="C546" t="s">
        <v>1024</v>
      </c>
      <c r="D546" t="s">
        <v>0</v>
      </c>
      <c r="E546">
        <v>100</v>
      </c>
      <c r="G546" s="12">
        <v>3.1</v>
      </c>
      <c r="H546" s="12">
        <f t="shared" si="24"/>
        <v>310</v>
      </c>
      <c r="I546" s="12">
        <f t="shared" si="25"/>
        <v>0</v>
      </c>
    </row>
    <row r="547" spans="1:9" outlineLevel="1" x14ac:dyDescent="0.25">
      <c r="A547" t="s">
        <v>1025</v>
      </c>
      <c r="B547" t="s">
        <v>103</v>
      </c>
      <c r="C547" t="s">
        <v>1026</v>
      </c>
      <c r="D547" t="s">
        <v>0</v>
      </c>
      <c r="E547" s="4">
        <v>1200</v>
      </c>
      <c r="G547" s="12">
        <v>3.55</v>
      </c>
      <c r="H547" s="12">
        <f t="shared" si="24"/>
        <v>4260</v>
      </c>
      <c r="I547" s="12">
        <f t="shared" si="25"/>
        <v>0</v>
      </c>
    </row>
    <row r="548" spans="1:9" outlineLevel="1" x14ac:dyDescent="0.25">
      <c r="A548" t="s">
        <v>1027</v>
      </c>
      <c r="B548" t="s">
        <v>103</v>
      </c>
      <c r="C548" t="s">
        <v>1028</v>
      </c>
      <c r="D548" t="s">
        <v>0</v>
      </c>
      <c r="E548">
        <v>50</v>
      </c>
      <c r="G548" s="12">
        <v>7.52</v>
      </c>
      <c r="H548" s="12">
        <f t="shared" si="24"/>
        <v>376</v>
      </c>
      <c r="I548" s="12">
        <f t="shared" si="25"/>
        <v>0</v>
      </c>
    </row>
    <row r="549" spans="1:9" x14ac:dyDescent="0.25">
      <c r="A549" s="9">
        <v>4</v>
      </c>
      <c r="B549" s="9"/>
      <c r="C549" s="9" t="s">
        <v>1029</v>
      </c>
      <c r="D549" s="9"/>
      <c r="E549" s="9"/>
      <c r="F549" s="9"/>
      <c r="G549" s="13"/>
      <c r="H549" s="13">
        <f>SUM(H550:H590)</f>
        <v>28982.53</v>
      </c>
      <c r="I549" s="13">
        <f>SUM(I550:I590)</f>
        <v>923</v>
      </c>
    </row>
    <row r="550" spans="1:9" outlineLevel="1" x14ac:dyDescent="0.25">
      <c r="A550" s="8" t="s">
        <v>1030</v>
      </c>
      <c r="B550" s="8"/>
      <c r="C550" s="8" t="s">
        <v>1031</v>
      </c>
      <c r="D550" s="8"/>
      <c r="E550" s="8"/>
      <c r="F550" s="8"/>
      <c r="G550" s="14"/>
      <c r="H550" s="14"/>
      <c r="I550" s="14"/>
    </row>
    <row r="551" spans="1:9" outlineLevel="1" x14ac:dyDescent="0.25">
      <c r="A551" s="8" t="s">
        <v>1032</v>
      </c>
      <c r="B551" s="8"/>
      <c r="C551" s="8" t="s">
        <v>1033</v>
      </c>
      <c r="D551" s="8"/>
      <c r="E551" s="8"/>
      <c r="F551" s="8"/>
      <c r="G551" s="14"/>
      <c r="H551" s="14"/>
      <c r="I551" s="14"/>
    </row>
    <row r="552" spans="1:9" outlineLevel="1" x14ac:dyDescent="0.25">
      <c r="A552" t="s">
        <v>1034</v>
      </c>
      <c r="B552" t="s">
        <v>103</v>
      </c>
      <c r="C552" t="s">
        <v>1035</v>
      </c>
      <c r="D552" t="s">
        <v>1036</v>
      </c>
      <c r="E552">
        <v>9</v>
      </c>
      <c r="G552" s="12">
        <v>180</v>
      </c>
      <c r="H552" s="12">
        <f>SUM(E552*G552)</f>
        <v>1620</v>
      </c>
      <c r="I552" s="12">
        <f>G552*F552</f>
        <v>0</v>
      </c>
    </row>
    <row r="553" spans="1:9" outlineLevel="1" x14ac:dyDescent="0.25">
      <c r="A553" t="s">
        <v>1037</v>
      </c>
      <c r="B553" t="s">
        <v>103</v>
      </c>
      <c r="C553" t="s">
        <v>1038</v>
      </c>
      <c r="D553" t="s">
        <v>1036</v>
      </c>
      <c r="E553">
        <v>9</v>
      </c>
      <c r="G553" s="12">
        <v>140</v>
      </c>
      <c r="H553" s="12">
        <f t="shared" ref="H553:H616" si="26">SUM(E553*G553)</f>
        <v>1260</v>
      </c>
      <c r="I553" s="12">
        <f t="shared" ref="I553:I616" si="27">G553*F553</f>
        <v>0</v>
      </c>
    </row>
    <row r="554" spans="1:9" outlineLevel="1" x14ac:dyDescent="0.25">
      <c r="A554" t="s">
        <v>1039</v>
      </c>
      <c r="B554" t="s">
        <v>103</v>
      </c>
      <c r="C554" t="s">
        <v>1040</v>
      </c>
      <c r="D554" t="s">
        <v>1036</v>
      </c>
      <c r="E554">
        <v>9</v>
      </c>
      <c r="G554" s="12">
        <v>140</v>
      </c>
      <c r="H554" s="12">
        <f t="shared" si="26"/>
        <v>1260</v>
      </c>
      <c r="I554" s="12">
        <f t="shared" si="27"/>
        <v>0</v>
      </c>
    </row>
    <row r="555" spans="1:9" outlineLevel="1" x14ac:dyDescent="0.25">
      <c r="A555" t="s">
        <v>1041</v>
      </c>
      <c r="B555" t="s">
        <v>103</v>
      </c>
      <c r="C555" t="s">
        <v>1042</v>
      </c>
      <c r="D555" t="s">
        <v>0</v>
      </c>
      <c r="E555">
        <v>90</v>
      </c>
      <c r="G555" s="12">
        <v>20.100000000000001</v>
      </c>
      <c r="H555" s="12">
        <f t="shared" si="26"/>
        <v>1809.0000000000002</v>
      </c>
      <c r="I555" s="12">
        <f t="shared" si="27"/>
        <v>0</v>
      </c>
    </row>
    <row r="556" spans="1:9" outlineLevel="1" x14ac:dyDescent="0.25">
      <c r="A556" t="s">
        <v>1043</v>
      </c>
      <c r="B556" t="s">
        <v>103</v>
      </c>
      <c r="C556" t="s">
        <v>1044</v>
      </c>
      <c r="D556" t="s">
        <v>6</v>
      </c>
      <c r="E556">
        <v>2</v>
      </c>
      <c r="G556" s="12">
        <v>45.82</v>
      </c>
      <c r="H556" s="12">
        <f t="shared" si="26"/>
        <v>91.64</v>
      </c>
      <c r="I556" s="12">
        <f t="shared" si="27"/>
        <v>0</v>
      </c>
    </row>
    <row r="557" spans="1:9" outlineLevel="1" x14ac:dyDescent="0.25">
      <c r="A557" s="8" t="s">
        <v>1045</v>
      </c>
      <c r="B557" s="8"/>
      <c r="C557" s="8" t="s">
        <v>1046</v>
      </c>
      <c r="D557" s="8"/>
      <c r="E557" s="8"/>
      <c r="F557" s="8"/>
      <c r="G557" s="14"/>
      <c r="H557" s="14"/>
      <c r="I557" s="14"/>
    </row>
    <row r="558" spans="1:9" outlineLevel="1" x14ac:dyDescent="0.25">
      <c r="A558" t="s">
        <v>32</v>
      </c>
      <c r="B558" t="s">
        <v>103</v>
      </c>
      <c r="C558" t="s">
        <v>33</v>
      </c>
      <c r="D558" t="s">
        <v>1036</v>
      </c>
      <c r="E558">
        <v>9</v>
      </c>
      <c r="F558">
        <v>1</v>
      </c>
      <c r="G558" s="12">
        <v>110</v>
      </c>
      <c r="H558" s="12">
        <f t="shared" si="26"/>
        <v>990</v>
      </c>
      <c r="I558" s="12">
        <f t="shared" si="27"/>
        <v>110</v>
      </c>
    </row>
    <row r="559" spans="1:9" outlineLevel="1" x14ac:dyDescent="0.25">
      <c r="A559" t="s">
        <v>34</v>
      </c>
      <c r="B559" t="s">
        <v>103</v>
      </c>
      <c r="C559" t="s">
        <v>35</v>
      </c>
      <c r="D559" t="s">
        <v>0</v>
      </c>
      <c r="E559">
        <v>50</v>
      </c>
      <c r="F559">
        <v>100</v>
      </c>
      <c r="G559" s="12">
        <v>4.13</v>
      </c>
      <c r="H559" s="12">
        <f t="shared" si="26"/>
        <v>206.5</v>
      </c>
      <c r="I559" s="12">
        <f t="shared" si="27"/>
        <v>413</v>
      </c>
    </row>
    <row r="560" spans="1:9" outlineLevel="1" x14ac:dyDescent="0.25">
      <c r="A560" t="s">
        <v>1047</v>
      </c>
      <c r="B560" t="s">
        <v>103</v>
      </c>
      <c r="C560" t="s">
        <v>1048</v>
      </c>
      <c r="D560" t="s">
        <v>0</v>
      </c>
      <c r="E560">
        <v>75</v>
      </c>
      <c r="G560" s="12">
        <v>5.85</v>
      </c>
      <c r="H560" s="12">
        <f t="shared" si="26"/>
        <v>438.75</v>
      </c>
      <c r="I560" s="12">
        <f t="shared" si="27"/>
        <v>0</v>
      </c>
    </row>
    <row r="561" spans="1:9" outlineLevel="1" x14ac:dyDescent="0.25">
      <c r="A561" s="8" t="s">
        <v>1049</v>
      </c>
      <c r="B561" s="8"/>
      <c r="C561" s="8" t="s">
        <v>1050</v>
      </c>
      <c r="D561" s="8"/>
      <c r="E561" s="8"/>
      <c r="F561" s="8"/>
      <c r="G561" s="14"/>
      <c r="H561" s="14"/>
      <c r="I561" s="14"/>
    </row>
    <row r="562" spans="1:9" outlineLevel="1" x14ac:dyDescent="0.25">
      <c r="A562" s="8" t="s">
        <v>1051</v>
      </c>
      <c r="B562" s="8"/>
      <c r="C562" s="8" t="s">
        <v>1050</v>
      </c>
      <c r="D562" s="8"/>
      <c r="E562" s="8"/>
      <c r="F562" s="8"/>
      <c r="G562" s="14"/>
      <c r="H562" s="14"/>
      <c r="I562" s="14"/>
    </row>
    <row r="563" spans="1:9" outlineLevel="1" x14ac:dyDescent="0.25">
      <c r="A563" t="s">
        <v>1052</v>
      </c>
      <c r="B563" t="s">
        <v>103</v>
      </c>
      <c r="C563" t="s">
        <v>1053</v>
      </c>
      <c r="D563" t="s">
        <v>6</v>
      </c>
      <c r="E563">
        <v>1</v>
      </c>
      <c r="G563" s="12">
        <v>450</v>
      </c>
      <c r="H563" s="12">
        <f t="shared" si="26"/>
        <v>450</v>
      </c>
      <c r="I563" s="12">
        <f t="shared" si="27"/>
        <v>0</v>
      </c>
    </row>
    <row r="564" spans="1:9" outlineLevel="1" x14ac:dyDescent="0.25">
      <c r="A564" s="8" t="s">
        <v>1054</v>
      </c>
      <c r="B564" s="8"/>
      <c r="C564" s="8" t="s">
        <v>1055</v>
      </c>
      <c r="D564" s="8"/>
      <c r="E564" s="8"/>
      <c r="F564" s="8"/>
      <c r="G564" s="14"/>
      <c r="H564" s="14"/>
      <c r="I564" s="14"/>
    </row>
    <row r="565" spans="1:9" outlineLevel="1" x14ac:dyDescent="0.25">
      <c r="A565" s="8" t="s">
        <v>1056</v>
      </c>
      <c r="B565" s="8"/>
      <c r="C565" s="8" t="s">
        <v>1057</v>
      </c>
      <c r="D565" s="8"/>
      <c r="E565" s="8"/>
      <c r="F565" s="8"/>
      <c r="G565" s="14"/>
      <c r="H565" s="14"/>
      <c r="I565" s="14"/>
    </row>
    <row r="566" spans="1:9" outlineLevel="1" x14ac:dyDescent="0.25">
      <c r="A566" t="s">
        <v>1058</v>
      </c>
      <c r="B566" t="s">
        <v>103</v>
      </c>
      <c r="C566" t="s">
        <v>1059</v>
      </c>
      <c r="D566" t="s">
        <v>6</v>
      </c>
      <c r="E566">
        <v>11</v>
      </c>
      <c r="G566" s="12">
        <v>25</v>
      </c>
      <c r="H566" s="12">
        <f t="shared" si="26"/>
        <v>275</v>
      </c>
      <c r="I566" s="12">
        <f t="shared" si="27"/>
        <v>0</v>
      </c>
    </row>
    <row r="567" spans="1:9" outlineLevel="1" x14ac:dyDescent="0.25">
      <c r="A567" t="s">
        <v>1060</v>
      </c>
      <c r="B567" t="s">
        <v>103</v>
      </c>
      <c r="C567" t="s">
        <v>1061</v>
      </c>
      <c r="D567" t="s">
        <v>6</v>
      </c>
      <c r="E567">
        <v>1</v>
      </c>
      <c r="G567" s="12">
        <v>90</v>
      </c>
      <c r="H567" s="12">
        <f t="shared" si="26"/>
        <v>90</v>
      </c>
      <c r="I567" s="12">
        <f t="shared" si="27"/>
        <v>0</v>
      </c>
    </row>
    <row r="568" spans="1:9" outlineLevel="1" x14ac:dyDescent="0.25">
      <c r="A568" t="s">
        <v>1062</v>
      </c>
      <c r="B568" t="s">
        <v>103</v>
      </c>
      <c r="C568" t="s">
        <v>1063</v>
      </c>
      <c r="D568" t="s">
        <v>6</v>
      </c>
      <c r="E568">
        <v>5</v>
      </c>
      <c r="G568" s="12">
        <v>25</v>
      </c>
      <c r="H568" s="12">
        <f t="shared" si="26"/>
        <v>125</v>
      </c>
      <c r="I568" s="12">
        <f t="shared" si="27"/>
        <v>0</v>
      </c>
    </row>
    <row r="569" spans="1:9" outlineLevel="1" x14ac:dyDescent="0.25">
      <c r="A569" t="s">
        <v>1064</v>
      </c>
      <c r="B569" t="s">
        <v>103</v>
      </c>
      <c r="C569" t="s">
        <v>1065</v>
      </c>
      <c r="D569" t="s">
        <v>0</v>
      </c>
      <c r="E569">
        <v>150</v>
      </c>
      <c r="G569" s="12">
        <v>2.2000000000000002</v>
      </c>
      <c r="H569" s="12">
        <f t="shared" si="26"/>
        <v>330</v>
      </c>
      <c r="I569" s="12">
        <f t="shared" si="27"/>
        <v>0</v>
      </c>
    </row>
    <row r="570" spans="1:9" outlineLevel="1" x14ac:dyDescent="0.25">
      <c r="A570" t="s">
        <v>1066</v>
      </c>
      <c r="B570" t="s">
        <v>103</v>
      </c>
      <c r="C570" t="s">
        <v>1067</v>
      </c>
      <c r="D570" t="s">
        <v>6</v>
      </c>
      <c r="E570">
        <v>25</v>
      </c>
      <c r="G570" s="12">
        <v>3.66</v>
      </c>
      <c r="H570" s="12">
        <f t="shared" si="26"/>
        <v>91.5</v>
      </c>
      <c r="I570" s="12">
        <f t="shared" si="27"/>
        <v>0</v>
      </c>
    </row>
    <row r="571" spans="1:9" outlineLevel="1" x14ac:dyDescent="0.25">
      <c r="A571" t="s">
        <v>1068</v>
      </c>
      <c r="B571" t="s">
        <v>103</v>
      </c>
      <c r="C571" t="s">
        <v>1069</v>
      </c>
      <c r="D571" t="s">
        <v>0</v>
      </c>
      <c r="E571">
        <v>20</v>
      </c>
      <c r="G571" s="12">
        <v>4</v>
      </c>
      <c r="H571" s="12">
        <f t="shared" si="26"/>
        <v>80</v>
      </c>
      <c r="I571" s="12">
        <f t="shared" si="27"/>
        <v>0</v>
      </c>
    </row>
    <row r="572" spans="1:9" outlineLevel="1" x14ac:dyDescent="0.25">
      <c r="A572" s="8">
        <v>5</v>
      </c>
      <c r="B572" s="8"/>
      <c r="C572" s="8" t="s">
        <v>1070</v>
      </c>
      <c r="D572" s="8"/>
      <c r="E572" s="8"/>
      <c r="F572" s="8"/>
      <c r="G572" s="14"/>
      <c r="H572" s="14"/>
      <c r="I572" s="14"/>
    </row>
    <row r="573" spans="1:9" outlineLevel="1" x14ac:dyDescent="0.25">
      <c r="A573" s="8" t="s">
        <v>1071</v>
      </c>
      <c r="B573" s="8"/>
      <c r="C573" s="8" t="s">
        <v>1072</v>
      </c>
      <c r="D573" s="8"/>
      <c r="E573" s="8"/>
      <c r="F573" s="8"/>
      <c r="G573" s="14"/>
      <c r="H573" s="14"/>
      <c r="I573" s="14"/>
    </row>
    <row r="574" spans="1:9" outlineLevel="1" x14ac:dyDescent="0.25">
      <c r="A574" s="8" t="s">
        <v>1073</v>
      </c>
      <c r="B574" s="8"/>
      <c r="C574" s="8" t="s">
        <v>1074</v>
      </c>
      <c r="D574" s="8"/>
      <c r="E574" s="8"/>
      <c r="F574" s="8"/>
      <c r="G574" s="14"/>
      <c r="H574" s="14"/>
      <c r="I574" s="14"/>
    </row>
    <row r="575" spans="1:9" outlineLevel="1" x14ac:dyDescent="0.25">
      <c r="A575" t="s">
        <v>1075</v>
      </c>
      <c r="B575" t="s">
        <v>103</v>
      </c>
      <c r="C575" t="s">
        <v>1076</v>
      </c>
      <c r="D575" t="s">
        <v>6</v>
      </c>
      <c r="E575">
        <v>2</v>
      </c>
      <c r="G575" s="12">
        <v>121.29</v>
      </c>
      <c r="H575" s="12">
        <f t="shared" si="26"/>
        <v>242.58</v>
      </c>
      <c r="I575" s="12">
        <f t="shared" si="27"/>
        <v>0</v>
      </c>
    </row>
    <row r="576" spans="1:9" outlineLevel="1" x14ac:dyDescent="0.25">
      <c r="A576" t="s">
        <v>1077</v>
      </c>
      <c r="B576" t="s">
        <v>103</v>
      </c>
      <c r="C576" t="s">
        <v>1078</v>
      </c>
      <c r="D576" t="s">
        <v>6</v>
      </c>
      <c r="E576">
        <v>12</v>
      </c>
      <c r="G576" s="12">
        <v>721.03</v>
      </c>
      <c r="H576" s="12">
        <f t="shared" si="26"/>
        <v>8652.36</v>
      </c>
      <c r="I576" s="12">
        <f t="shared" si="27"/>
        <v>0</v>
      </c>
    </row>
    <row r="577" spans="1:9" outlineLevel="1" x14ac:dyDescent="0.25">
      <c r="A577" t="s">
        <v>1079</v>
      </c>
      <c r="B577" t="s">
        <v>103</v>
      </c>
      <c r="C577" t="s">
        <v>1080</v>
      </c>
      <c r="D577" t="s">
        <v>6</v>
      </c>
      <c r="E577">
        <v>8</v>
      </c>
      <c r="G577" s="12">
        <v>464.15</v>
      </c>
      <c r="H577" s="12">
        <f t="shared" si="26"/>
        <v>3713.2</v>
      </c>
      <c r="I577" s="12">
        <f t="shared" si="27"/>
        <v>0</v>
      </c>
    </row>
    <row r="578" spans="1:9" outlineLevel="1" x14ac:dyDescent="0.25">
      <c r="A578" t="s">
        <v>1081</v>
      </c>
      <c r="B578" t="s">
        <v>103</v>
      </c>
      <c r="C578" t="s">
        <v>1082</v>
      </c>
      <c r="D578" t="s">
        <v>6</v>
      </c>
      <c r="E578">
        <v>4</v>
      </c>
      <c r="G578" s="12">
        <v>399.83</v>
      </c>
      <c r="H578" s="12">
        <f t="shared" si="26"/>
        <v>1599.32</v>
      </c>
      <c r="I578" s="12">
        <f t="shared" si="27"/>
        <v>0</v>
      </c>
    </row>
    <row r="579" spans="1:9" outlineLevel="1" x14ac:dyDescent="0.25">
      <c r="A579" t="s">
        <v>1083</v>
      </c>
      <c r="B579" t="s">
        <v>103</v>
      </c>
      <c r="C579" t="s">
        <v>1084</v>
      </c>
      <c r="D579" t="s">
        <v>6</v>
      </c>
      <c r="E579">
        <v>2</v>
      </c>
      <c r="G579" s="12">
        <v>698.88</v>
      </c>
      <c r="H579" s="12">
        <f t="shared" si="26"/>
        <v>1397.76</v>
      </c>
      <c r="I579" s="12">
        <f t="shared" si="27"/>
        <v>0</v>
      </c>
    </row>
    <row r="580" spans="1:9" outlineLevel="1" x14ac:dyDescent="0.25">
      <c r="A580" t="s">
        <v>1085</v>
      </c>
      <c r="B580" t="s">
        <v>103</v>
      </c>
      <c r="C580" t="s">
        <v>1086</v>
      </c>
      <c r="D580" t="s">
        <v>6</v>
      </c>
      <c r="E580">
        <v>6</v>
      </c>
      <c r="G580" s="12">
        <v>63.27</v>
      </c>
      <c r="H580" s="12">
        <f t="shared" si="26"/>
        <v>379.62</v>
      </c>
      <c r="I580" s="12">
        <f t="shared" si="27"/>
        <v>0</v>
      </c>
    </row>
    <row r="581" spans="1:9" outlineLevel="1" x14ac:dyDescent="0.25">
      <c r="A581" s="8" t="s">
        <v>1087</v>
      </c>
      <c r="B581" s="8"/>
      <c r="C581" s="8" t="s">
        <v>1088</v>
      </c>
      <c r="D581" s="8"/>
      <c r="E581" s="8"/>
      <c r="F581" s="8"/>
      <c r="G581" s="14"/>
      <c r="H581" s="14"/>
      <c r="I581" s="14"/>
    </row>
    <row r="582" spans="1:9" outlineLevel="1" x14ac:dyDescent="0.25">
      <c r="A582" t="s">
        <v>1089</v>
      </c>
      <c r="B582" t="s">
        <v>103</v>
      </c>
      <c r="C582" t="s">
        <v>1090</v>
      </c>
      <c r="D582" t="s">
        <v>0</v>
      </c>
      <c r="E582">
        <v>80</v>
      </c>
      <c r="G582" s="12">
        <v>5.22</v>
      </c>
      <c r="H582" s="12">
        <f t="shared" si="26"/>
        <v>417.59999999999997</v>
      </c>
      <c r="I582" s="12">
        <f t="shared" si="27"/>
        <v>0</v>
      </c>
    </row>
    <row r="583" spans="1:9" outlineLevel="1" x14ac:dyDescent="0.25">
      <c r="A583" t="s">
        <v>1091</v>
      </c>
      <c r="B583" t="s">
        <v>103</v>
      </c>
      <c r="C583" t="s">
        <v>1092</v>
      </c>
      <c r="D583" t="s">
        <v>0</v>
      </c>
      <c r="E583">
        <v>250</v>
      </c>
      <c r="G583" s="12">
        <v>7.69</v>
      </c>
      <c r="H583" s="12">
        <f t="shared" si="26"/>
        <v>1922.5</v>
      </c>
      <c r="I583" s="12">
        <f t="shared" si="27"/>
        <v>0</v>
      </c>
    </row>
    <row r="584" spans="1:9" outlineLevel="1" x14ac:dyDescent="0.25">
      <c r="A584" t="s">
        <v>1093</v>
      </c>
      <c r="B584" t="s">
        <v>103</v>
      </c>
      <c r="C584" t="s">
        <v>1094</v>
      </c>
      <c r="D584" t="s">
        <v>0</v>
      </c>
      <c r="E584">
        <v>80</v>
      </c>
      <c r="F584">
        <v>100</v>
      </c>
      <c r="G584" s="12">
        <v>4</v>
      </c>
      <c r="H584" s="12">
        <f t="shared" si="26"/>
        <v>320</v>
      </c>
      <c r="I584" s="12">
        <f t="shared" si="27"/>
        <v>400</v>
      </c>
    </row>
    <row r="585" spans="1:9" outlineLevel="1" x14ac:dyDescent="0.25">
      <c r="A585" t="s">
        <v>1095</v>
      </c>
      <c r="B585" t="s">
        <v>103</v>
      </c>
      <c r="C585" t="s">
        <v>1096</v>
      </c>
      <c r="D585" t="s">
        <v>0</v>
      </c>
      <c r="E585">
        <v>150</v>
      </c>
      <c r="G585" s="12">
        <v>5.14</v>
      </c>
      <c r="H585" s="12">
        <f t="shared" si="26"/>
        <v>771</v>
      </c>
      <c r="I585" s="12">
        <f t="shared" si="27"/>
        <v>0</v>
      </c>
    </row>
    <row r="586" spans="1:9" outlineLevel="1" x14ac:dyDescent="0.25">
      <c r="A586" t="s">
        <v>1097</v>
      </c>
      <c r="B586" t="s">
        <v>103</v>
      </c>
      <c r="C586" t="s">
        <v>1098</v>
      </c>
      <c r="D586" t="s">
        <v>0</v>
      </c>
      <c r="E586">
        <v>15</v>
      </c>
      <c r="G586" s="12">
        <v>9.94</v>
      </c>
      <c r="H586" s="12">
        <f t="shared" si="26"/>
        <v>149.1</v>
      </c>
      <c r="I586" s="12">
        <f t="shared" si="27"/>
        <v>0</v>
      </c>
    </row>
    <row r="587" spans="1:9" outlineLevel="1" x14ac:dyDescent="0.25">
      <c r="A587" t="s">
        <v>1099</v>
      </c>
      <c r="B587" t="s">
        <v>103</v>
      </c>
      <c r="C587" t="s">
        <v>1100</v>
      </c>
      <c r="D587" t="s">
        <v>6</v>
      </c>
      <c r="E587">
        <v>10</v>
      </c>
      <c r="G587" s="12">
        <v>5.57</v>
      </c>
      <c r="H587" s="12">
        <f t="shared" si="26"/>
        <v>55.7</v>
      </c>
      <c r="I587" s="12">
        <f t="shared" si="27"/>
        <v>0</v>
      </c>
    </row>
    <row r="588" spans="1:9" outlineLevel="1" x14ac:dyDescent="0.25">
      <c r="A588" t="s">
        <v>1101</v>
      </c>
      <c r="B588" t="s">
        <v>103</v>
      </c>
      <c r="C588" t="s">
        <v>1102</v>
      </c>
      <c r="D588" t="s">
        <v>6</v>
      </c>
      <c r="E588">
        <v>1</v>
      </c>
      <c r="G588" s="12">
        <v>8.4</v>
      </c>
      <c r="H588" s="12">
        <f t="shared" si="26"/>
        <v>8.4</v>
      </c>
      <c r="I588" s="12">
        <f t="shared" si="27"/>
        <v>0</v>
      </c>
    </row>
    <row r="589" spans="1:9" outlineLevel="1" x14ac:dyDescent="0.25">
      <c r="A589" t="s">
        <v>1103</v>
      </c>
      <c r="B589" t="s">
        <v>103</v>
      </c>
      <c r="C589" t="s">
        <v>1104</v>
      </c>
      <c r="D589" t="s">
        <v>0</v>
      </c>
      <c r="E589">
        <v>200</v>
      </c>
      <c r="G589" s="12">
        <v>1.18</v>
      </c>
      <c r="H589" s="12">
        <f t="shared" si="26"/>
        <v>236</v>
      </c>
      <c r="I589" s="12">
        <f t="shared" si="27"/>
        <v>0</v>
      </c>
    </row>
    <row r="590" spans="1:9" outlineLevel="1" x14ac:dyDescent="0.25">
      <c r="A590" s="8"/>
      <c r="B590" s="8"/>
      <c r="C590" s="8"/>
      <c r="D590" s="8"/>
      <c r="E590" s="8"/>
      <c r="F590" s="8"/>
      <c r="G590" s="14"/>
      <c r="H590" s="14"/>
      <c r="I590" s="14"/>
    </row>
    <row r="591" spans="1:9" x14ac:dyDescent="0.25">
      <c r="A591" s="10"/>
      <c r="B591" s="10"/>
      <c r="C591" s="10"/>
      <c r="D591" s="10"/>
      <c r="E591" s="10"/>
      <c r="F591" s="10"/>
      <c r="G591" s="10"/>
      <c r="H591" s="10"/>
      <c r="I591" s="10"/>
    </row>
    <row r="592" spans="1:9" ht="23.25" x14ac:dyDescent="0.35">
      <c r="C592" s="11"/>
      <c r="H592" s="12"/>
    </row>
    <row r="593" spans="1:9" ht="15.75" x14ac:dyDescent="0.25">
      <c r="H593" s="12"/>
      <c r="I593" s="58">
        <f>SUM(I595:I767)</f>
        <v>30657.347000000002</v>
      </c>
    </row>
    <row r="594" spans="1:9" x14ac:dyDescent="0.25">
      <c r="A594" s="5"/>
      <c r="H594" s="12"/>
    </row>
    <row r="595" spans="1:9" x14ac:dyDescent="0.25">
      <c r="A595" t="s">
        <v>45</v>
      </c>
      <c r="B595" t="s">
        <v>103</v>
      </c>
      <c r="C595" t="s">
        <v>44</v>
      </c>
      <c r="D595" t="s">
        <v>0</v>
      </c>
      <c r="E595">
        <v>346</v>
      </c>
      <c r="F595">
        <v>346</v>
      </c>
      <c r="G595">
        <v>1.69</v>
      </c>
      <c r="H595" s="12">
        <f t="shared" si="26"/>
        <v>584.74</v>
      </c>
      <c r="I595" s="12">
        <f t="shared" si="27"/>
        <v>584.74</v>
      </c>
    </row>
    <row r="596" spans="1:9" x14ac:dyDescent="0.25">
      <c r="A596" t="s">
        <v>47</v>
      </c>
      <c r="B596" t="s">
        <v>103</v>
      </c>
      <c r="C596" t="s">
        <v>46</v>
      </c>
      <c r="D596" t="s">
        <v>1105</v>
      </c>
      <c r="E596">
        <v>48</v>
      </c>
      <c r="F596">
        <v>48</v>
      </c>
      <c r="G596">
        <v>1.94</v>
      </c>
      <c r="H596" s="12">
        <f t="shared" si="26"/>
        <v>93.12</v>
      </c>
      <c r="I596" s="12">
        <f t="shared" si="27"/>
        <v>93.12</v>
      </c>
    </row>
    <row r="597" spans="1:9" x14ac:dyDescent="0.25">
      <c r="A597" t="s">
        <v>49</v>
      </c>
      <c r="B597" t="s">
        <v>103</v>
      </c>
      <c r="C597" t="s">
        <v>48</v>
      </c>
      <c r="D597" t="s">
        <v>1105</v>
      </c>
      <c r="E597">
        <v>240</v>
      </c>
      <c r="F597">
        <v>240</v>
      </c>
      <c r="G597">
        <v>1.98</v>
      </c>
      <c r="H597" s="12">
        <f t="shared" si="26"/>
        <v>475.2</v>
      </c>
      <c r="I597" s="12">
        <f t="shared" si="27"/>
        <v>475.2</v>
      </c>
    </row>
    <row r="598" spans="1:9" x14ac:dyDescent="0.25">
      <c r="A598" t="s">
        <v>1106</v>
      </c>
      <c r="B598" t="s">
        <v>103</v>
      </c>
      <c r="C598" t="s">
        <v>1107</v>
      </c>
      <c r="D598" t="s">
        <v>0</v>
      </c>
      <c r="E598">
        <v>50</v>
      </c>
      <c r="F598">
        <v>50</v>
      </c>
      <c r="G598">
        <v>56.54</v>
      </c>
      <c r="H598" s="12">
        <f t="shared" si="26"/>
        <v>2827</v>
      </c>
      <c r="I598" s="12">
        <f t="shared" si="27"/>
        <v>2827</v>
      </c>
    </row>
    <row r="599" spans="1:9" x14ac:dyDescent="0.25">
      <c r="A599" t="s">
        <v>1108</v>
      </c>
      <c r="B599" t="s">
        <v>103</v>
      </c>
      <c r="C599" t="s">
        <v>1109</v>
      </c>
      <c r="D599" t="s">
        <v>0</v>
      </c>
      <c r="E599">
        <v>110</v>
      </c>
      <c r="G599">
        <v>37.770000000000003</v>
      </c>
      <c r="H599" s="12">
        <f t="shared" si="26"/>
        <v>4154.7000000000007</v>
      </c>
      <c r="I599" s="12">
        <f t="shared" si="27"/>
        <v>0</v>
      </c>
    </row>
    <row r="600" spans="1:9" x14ac:dyDescent="0.25">
      <c r="A600" s="6"/>
      <c r="H600" s="12">
        <f t="shared" si="26"/>
        <v>0</v>
      </c>
      <c r="I600" s="12">
        <f t="shared" si="27"/>
        <v>0</v>
      </c>
    </row>
    <row r="601" spans="1:9" x14ac:dyDescent="0.25">
      <c r="A601" t="s">
        <v>57</v>
      </c>
      <c r="B601" t="s">
        <v>103</v>
      </c>
      <c r="C601" t="s">
        <v>8</v>
      </c>
      <c r="D601" t="s">
        <v>0</v>
      </c>
      <c r="E601">
        <v>95</v>
      </c>
      <c r="G601">
        <v>42.96</v>
      </c>
      <c r="H601" s="12">
        <f t="shared" si="26"/>
        <v>4081.2000000000003</v>
      </c>
      <c r="I601" s="12">
        <f t="shared" si="27"/>
        <v>0</v>
      </c>
    </row>
    <row r="602" spans="1:9" x14ac:dyDescent="0.25">
      <c r="A602" t="s">
        <v>1110</v>
      </c>
      <c r="B602" t="s">
        <v>103</v>
      </c>
      <c r="C602" t="s">
        <v>1111</v>
      </c>
      <c r="D602" t="s">
        <v>0</v>
      </c>
      <c r="E602">
        <v>9</v>
      </c>
      <c r="G602">
        <v>40.409999999999997</v>
      </c>
      <c r="H602" s="12">
        <f t="shared" si="26"/>
        <v>363.68999999999994</v>
      </c>
      <c r="I602" s="12">
        <f t="shared" si="27"/>
        <v>0</v>
      </c>
    </row>
    <row r="603" spans="1:9" x14ac:dyDescent="0.25">
      <c r="A603" t="s">
        <v>1112</v>
      </c>
      <c r="B603" t="s">
        <v>103</v>
      </c>
      <c r="C603" t="s">
        <v>1113</v>
      </c>
      <c r="D603" t="s">
        <v>0</v>
      </c>
      <c r="E603">
        <v>18</v>
      </c>
      <c r="G603">
        <v>52.26</v>
      </c>
      <c r="H603" s="12">
        <f t="shared" si="26"/>
        <v>940.68</v>
      </c>
      <c r="I603" s="12">
        <f t="shared" si="27"/>
        <v>0</v>
      </c>
    </row>
    <row r="604" spans="1:9" x14ac:dyDescent="0.25">
      <c r="A604" t="s">
        <v>1114</v>
      </c>
      <c r="B604" t="s">
        <v>103</v>
      </c>
      <c r="C604" t="s">
        <v>1115</v>
      </c>
      <c r="D604" t="s">
        <v>0</v>
      </c>
      <c r="E604">
        <v>30</v>
      </c>
      <c r="F604">
        <v>26.5</v>
      </c>
      <c r="G604">
        <v>28</v>
      </c>
      <c r="H604" s="12">
        <f t="shared" si="26"/>
        <v>840</v>
      </c>
      <c r="I604" s="12">
        <f t="shared" si="27"/>
        <v>742</v>
      </c>
    </row>
    <row r="605" spans="1:9" x14ac:dyDescent="0.25">
      <c r="H605" s="12">
        <f t="shared" si="26"/>
        <v>0</v>
      </c>
      <c r="I605" s="12">
        <f t="shared" si="27"/>
        <v>0</v>
      </c>
    </row>
    <row r="606" spans="1:9" x14ac:dyDescent="0.25">
      <c r="A606" t="s">
        <v>1116</v>
      </c>
      <c r="B606" t="s">
        <v>103</v>
      </c>
      <c r="C606" t="s">
        <v>58</v>
      </c>
      <c r="D606" t="s">
        <v>1105</v>
      </c>
      <c r="E606">
        <v>390</v>
      </c>
      <c r="F606">
        <v>225</v>
      </c>
      <c r="G606">
        <v>39.380000000000003</v>
      </c>
      <c r="H606" s="12">
        <f t="shared" si="26"/>
        <v>15358.2</v>
      </c>
      <c r="I606" s="12">
        <f t="shared" si="27"/>
        <v>8860.5</v>
      </c>
    </row>
    <row r="607" spans="1:9" x14ac:dyDescent="0.25">
      <c r="A607" t="s">
        <v>60</v>
      </c>
      <c r="B607" t="s">
        <v>103</v>
      </c>
      <c r="C607" t="s">
        <v>59</v>
      </c>
      <c r="D607" t="s">
        <v>1105</v>
      </c>
      <c r="E607">
        <v>300</v>
      </c>
      <c r="F607">
        <v>36</v>
      </c>
      <c r="G607">
        <v>38.479999999999997</v>
      </c>
      <c r="H607" s="12">
        <f t="shared" si="26"/>
        <v>11543.999999999998</v>
      </c>
      <c r="I607" s="12">
        <f t="shared" si="27"/>
        <v>1385.28</v>
      </c>
    </row>
    <row r="608" spans="1:9" x14ac:dyDescent="0.25">
      <c r="A608" t="s">
        <v>66</v>
      </c>
      <c r="B608" t="s">
        <v>103</v>
      </c>
      <c r="C608" t="s">
        <v>61</v>
      </c>
      <c r="D608" t="s">
        <v>1105</v>
      </c>
      <c r="E608">
        <v>10</v>
      </c>
      <c r="G608">
        <v>52.55</v>
      </c>
      <c r="H608" s="12">
        <f t="shared" si="26"/>
        <v>525.5</v>
      </c>
      <c r="I608" s="12">
        <f t="shared" si="27"/>
        <v>0</v>
      </c>
    </row>
    <row r="609" spans="1:9" x14ac:dyDescent="0.25">
      <c r="A609" t="s">
        <v>67</v>
      </c>
      <c r="B609" t="s">
        <v>103</v>
      </c>
      <c r="C609" t="s">
        <v>62</v>
      </c>
      <c r="D609" t="s">
        <v>1105</v>
      </c>
      <c r="E609">
        <v>15</v>
      </c>
      <c r="F609">
        <v>22</v>
      </c>
      <c r="G609">
        <v>59.18</v>
      </c>
      <c r="H609" s="12">
        <f t="shared" si="26"/>
        <v>887.7</v>
      </c>
      <c r="I609" s="12">
        <f t="shared" si="27"/>
        <v>1301.96</v>
      </c>
    </row>
    <row r="610" spans="1:9" x14ac:dyDescent="0.25">
      <c r="A610" t="s">
        <v>68</v>
      </c>
      <c r="B610" t="s">
        <v>103</v>
      </c>
      <c r="C610" t="s">
        <v>63</v>
      </c>
      <c r="D610" t="s">
        <v>1105</v>
      </c>
      <c r="E610">
        <v>30</v>
      </c>
      <c r="F610">
        <v>23</v>
      </c>
      <c r="G610">
        <v>66.36</v>
      </c>
      <c r="H610" s="12">
        <f t="shared" si="26"/>
        <v>1990.8</v>
      </c>
      <c r="I610" s="12">
        <f t="shared" si="27"/>
        <v>1526.28</v>
      </c>
    </row>
    <row r="611" spans="1:9" x14ac:dyDescent="0.25">
      <c r="A611" t="s">
        <v>69</v>
      </c>
      <c r="B611" t="s">
        <v>103</v>
      </c>
      <c r="C611" t="s">
        <v>64</v>
      </c>
      <c r="D611" t="s">
        <v>0</v>
      </c>
      <c r="E611">
        <v>100</v>
      </c>
      <c r="F611">
        <v>11.7</v>
      </c>
      <c r="G611">
        <v>22.29</v>
      </c>
      <c r="H611" s="12">
        <f t="shared" si="26"/>
        <v>2229</v>
      </c>
      <c r="I611" s="12">
        <f t="shared" si="27"/>
        <v>260.79299999999995</v>
      </c>
    </row>
    <row r="612" spans="1:9" x14ac:dyDescent="0.25">
      <c r="A612" t="s">
        <v>1117</v>
      </c>
      <c r="B612" t="s">
        <v>103</v>
      </c>
      <c r="C612" t="s">
        <v>1118</v>
      </c>
      <c r="D612" t="s">
        <v>0</v>
      </c>
      <c r="E612">
        <v>30</v>
      </c>
      <c r="G612">
        <v>23.56</v>
      </c>
      <c r="H612" s="12">
        <f t="shared" si="26"/>
        <v>706.8</v>
      </c>
      <c r="I612" s="12">
        <f t="shared" si="27"/>
        <v>0</v>
      </c>
    </row>
    <row r="613" spans="1:9" x14ac:dyDescent="0.25">
      <c r="A613" t="s">
        <v>1119</v>
      </c>
      <c r="B613" t="s">
        <v>103</v>
      </c>
      <c r="C613" t="s">
        <v>1120</v>
      </c>
      <c r="D613" t="s">
        <v>0</v>
      </c>
      <c r="E613">
        <v>30</v>
      </c>
      <c r="G613">
        <v>24.86</v>
      </c>
      <c r="H613" s="12">
        <f t="shared" si="26"/>
        <v>745.8</v>
      </c>
      <c r="I613" s="12">
        <f t="shared" si="27"/>
        <v>0</v>
      </c>
    </row>
    <row r="614" spans="1:9" x14ac:dyDescent="0.25">
      <c r="A614" t="s">
        <v>70</v>
      </c>
      <c r="B614" t="s">
        <v>103</v>
      </c>
      <c r="C614" t="s">
        <v>65</v>
      </c>
      <c r="D614" t="s">
        <v>1105</v>
      </c>
      <c r="E614">
        <v>30</v>
      </c>
      <c r="F614">
        <v>23</v>
      </c>
      <c r="G614">
        <v>19.09</v>
      </c>
      <c r="H614" s="12">
        <f t="shared" si="26"/>
        <v>572.70000000000005</v>
      </c>
      <c r="I614" s="12">
        <f t="shared" si="27"/>
        <v>439.07</v>
      </c>
    </row>
    <row r="615" spans="1:9" x14ac:dyDescent="0.25">
      <c r="H615" s="12">
        <f t="shared" si="26"/>
        <v>0</v>
      </c>
      <c r="I615" s="12">
        <f t="shared" si="27"/>
        <v>0</v>
      </c>
    </row>
    <row r="616" spans="1:9" x14ac:dyDescent="0.25">
      <c r="A616" t="s">
        <v>77</v>
      </c>
      <c r="B616" t="s">
        <v>103</v>
      </c>
      <c r="C616" t="s">
        <v>71</v>
      </c>
      <c r="D616" t="s">
        <v>1105</v>
      </c>
      <c r="E616">
        <v>50</v>
      </c>
      <c r="G616">
        <v>14.2</v>
      </c>
      <c r="H616" s="12">
        <f t="shared" si="26"/>
        <v>710</v>
      </c>
      <c r="I616" s="12">
        <f t="shared" si="27"/>
        <v>0</v>
      </c>
    </row>
    <row r="617" spans="1:9" x14ac:dyDescent="0.25">
      <c r="H617" s="12">
        <f t="shared" ref="H617:H680" si="28">SUM(E617*G617)</f>
        <v>0</v>
      </c>
      <c r="I617" s="12">
        <f t="shared" ref="I617:I680" si="29">G617*F617</f>
        <v>0</v>
      </c>
    </row>
    <row r="618" spans="1:9" x14ac:dyDescent="0.25">
      <c r="H618" s="12">
        <f t="shared" si="28"/>
        <v>0</v>
      </c>
      <c r="I618" s="12">
        <f t="shared" si="29"/>
        <v>0</v>
      </c>
    </row>
    <row r="619" spans="1:9" x14ac:dyDescent="0.25">
      <c r="A619" t="s">
        <v>76</v>
      </c>
      <c r="B619" t="s">
        <v>103</v>
      </c>
      <c r="C619" t="s">
        <v>72</v>
      </c>
      <c r="D619" t="s">
        <v>1105</v>
      </c>
      <c r="E619">
        <v>50</v>
      </c>
      <c r="F619">
        <v>23</v>
      </c>
      <c r="G619">
        <v>13.2</v>
      </c>
      <c r="H619" s="12">
        <f t="shared" si="28"/>
        <v>660</v>
      </c>
      <c r="I619" s="12">
        <f t="shared" si="29"/>
        <v>303.59999999999997</v>
      </c>
    </row>
    <row r="620" spans="1:9" x14ac:dyDescent="0.25">
      <c r="H620" s="12">
        <f t="shared" si="28"/>
        <v>0</v>
      </c>
      <c r="I620" s="12">
        <f t="shared" si="29"/>
        <v>0</v>
      </c>
    </row>
    <row r="621" spans="1:9" x14ac:dyDescent="0.25">
      <c r="A621" t="s">
        <v>78</v>
      </c>
      <c r="B621" t="s">
        <v>103</v>
      </c>
      <c r="C621" t="s">
        <v>73</v>
      </c>
      <c r="D621" t="s">
        <v>0</v>
      </c>
      <c r="E621">
        <v>30</v>
      </c>
      <c r="F621">
        <v>52.8</v>
      </c>
      <c r="G621">
        <v>25.58</v>
      </c>
      <c r="H621" s="12">
        <f t="shared" si="28"/>
        <v>767.4</v>
      </c>
      <c r="I621" s="12">
        <f t="shared" si="29"/>
        <v>1350.6239999999998</v>
      </c>
    </row>
    <row r="622" spans="1:9" x14ac:dyDescent="0.25">
      <c r="H622" s="12">
        <f t="shared" si="28"/>
        <v>0</v>
      </c>
      <c r="I622" s="12">
        <f t="shared" si="29"/>
        <v>0</v>
      </c>
    </row>
    <row r="623" spans="1:9" x14ac:dyDescent="0.25">
      <c r="A623" t="s">
        <v>79</v>
      </c>
      <c r="B623" t="s">
        <v>103</v>
      </c>
      <c r="C623" t="s">
        <v>74</v>
      </c>
      <c r="D623" t="s">
        <v>1105</v>
      </c>
      <c r="E623">
        <v>100</v>
      </c>
      <c r="F623">
        <v>428</v>
      </c>
      <c r="G623">
        <v>11.89</v>
      </c>
      <c r="H623" s="12">
        <f t="shared" si="28"/>
        <v>1189</v>
      </c>
      <c r="I623" s="12">
        <f t="shared" si="29"/>
        <v>5088.92</v>
      </c>
    </row>
    <row r="624" spans="1:9" x14ac:dyDescent="0.25">
      <c r="A624" t="s">
        <v>80</v>
      </c>
      <c r="B624" t="s">
        <v>103</v>
      </c>
      <c r="C624" t="s">
        <v>75</v>
      </c>
      <c r="D624" t="s">
        <v>1105</v>
      </c>
      <c r="E624">
        <v>20</v>
      </c>
      <c r="F624">
        <v>15</v>
      </c>
      <c r="G624">
        <v>13.24</v>
      </c>
      <c r="H624" s="12">
        <f t="shared" si="28"/>
        <v>264.8</v>
      </c>
      <c r="I624" s="12">
        <f t="shared" si="29"/>
        <v>198.6</v>
      </c>
    </row>
    <row r="625" spans="1:9" x14ac:dyDescent="0.25">
      <c r="H625" s="12">
        <f t="shared" si="28"/>
        <v>0</v>
      </c>
      <c r="I625" s="12">
        <f t="shared" si="29"/>
        <v>0</v>
      </c>
    </row>
    <row r="626" spans="1:9" x14ac:dyDescent="0.25">
      <c r="A626" t="s">
        <v>81</v>
      </c>
      <c r="B626" t="s">
        <v>103</v>
      </c>
      <c r="C626" t="s">
        <v>82</v>
      </c>
      <c r="D626" t="s">
        <v>1105</v>
      </c>
      <c r="E626">
        <v>10</v>
      </c>
      <c r="F626">
        <v>10</v>
      </c>
      <c r="G626">
        <v>14.67</v>
      </c>
      <c r="H626" s="12">
        <f t="shared" si="28"/>
        <v>146.69999999999999</v>
      </c>
      <c r="I626" s="12">
        <f t="shared" si="29"/>
        <v>146.69999999999999</v>
      </c>
    </row>
    <row r="627" spans="1:9" x14ac:dyDescent="0.25">
      <c r="H627" s="12">
        <f t="shared" si="28"/>
        <v>0</v>
      </c>
      <c r="I627" s="12">
        <f t="shared" si="29"/>
        <v>0</v>
      </c>
    </row>
    <row r="628" spans="1:9" x14ac:dyDescent="0.25">
      <c r="A628" t="s">
        <v>83</v>
      </c>
      <c r="B628" t="s">
        <v>103</v>
      </c>
      <c r="C628" t="s">
        <v>84</v>
      </c>
      <c r="D628" t="s">
        <v>0</v>
      </c>
      <c r="E628">
        <v>30</v>
      </c>
      <c r="F628">
        <v>29.5</v>
      </c>
      <c r="G628">
        <v>28.1</v>
      </c>
      <c r="H628" s="12">
        <f t="shared" si="28"/>
        <v>843</v>
      </c>
      <c r="I628" s="12">
        <f t="shared" si="29"/>
        <v>828.95</v>
      </c>
    </row>
    <row r="629" spans="1:9" x14ac:dyDescent="0.25">
      <c r="H629" s="12">
        <f t="shared" si="28"/>
        <v>0</v>
      </c>
      <c r="I629" s="12">
        <f t="shared" si="29"/>
        <v>0</v>
      </c>
    </row>
    <row r="630" spans="1:9" x14ac:dyDescent="0.25">
      <c r="A630" t="s">
        <v>86</v>
      </c>
      <c r="B630" t="s">
        <v>103</v>
      </c>
      <c r="C630" t="s">
        <v>85</v>
      </c>
      <c r="D630" t="s">
        <v>1105</v>
      </c>
      <c r="E630">
        <v>4</v>
      </c>
      <c r="F630">
        <v>1</v>
      </c>
      <c r="G630">
        <v>103.45</v>
      </c>
      <c r="H630" s="12">
        <f t="shared" si="28"/>
        <v>413.8</v>
      </c>
      <c r="I630" s="12">
        <f t="shared" si="29"/>
        <v>103.45</v>
      </c>
    </row>
    <row r="631" spans="1:9" x14ac:dyDescent="0.25">
      <c r="A631" t="s">
        <v>1121</v>
      </c>
      <c r="B631" t="s">
        <v>103</v>
      </c>
      <c r="C631" t="s">
        <v>1122</v>
      </c>
      <c r="D631" t="s">
        <v>0</v>
      </c>
      <c r="E631">
        <v>40</v>
      </c>
      <c r="G631">
        <v>26.8</v>
      </c>
      <c r="H631" s="12">
        <f t="shared" si="28"/>
        <v>1072</v>
      </c>
      <c r="I631" s="12">
        <f t="shared" si="29"/>
        <v>0</v>
      </c>
    </row>
    <row r="632" spans="1:9" x14ac:dyDescent="0.25">
      <c r="A632" s="6"/>
      <c r="C632" t="s">
        <v>297</v>
      </c>
      <c r="H632" s="12">
        <f t="shared" si="28"/>
        <v>0</v>
      </c>
      <c r="I632" s="12">
        <f t="shared" si="29"/>
        <v>0</v>
      </c>
    </row>
    <row r="633" spans="1:9" x14ac:dyDescent="0.25">
      <c r="A633" t="s">
        <v>1123</v>
      </c>
      <c r="B633" t="s">
        <v>103</v>
      </c>
      <c r="C633" t="s">
        <v>1124</v>
      </c>
      <c r="D633" t="s">
        <v>0</v>
      </c>
      <c r="E633">
        <v>150</v>
      </c>
      <c r="G633">
        <v>5.67</v>
      </c>
      <c r="H633" s="12">
        <f t="shared" si="28"/>
        <v>850.5</v>
      </c>
      <c r="I633" s="12">
        <f t="shared" si="29"/>
        <v>0</v>
      </c>
    </row>
    <row r="634" spans="1:9" x14ac:dyDescent="0.25">
      <c r="A634" t="s">
        <v>1125</v>
      </c>
      <c r="B634" t="s">
        <v>103</v>
      </c>
      <c r="C634" t="s">
        <v>1126</v>
      </c>
      <c r="D634" t="s">
        <v>0</v>
      </c>
      <c r="E634">
        <v>50</v>
      </c>
      <c r="G634">
        <v>8.99</v>
      </c>
      <c r="H634" s="12">
        <f t="shared" si="28"/>
        <v>449.5</v>
      </c>
      <c r="I634" s="12">
        <f t="shared" si="29"/>
        <v>0</v>
      </c>
    </row>
    <row r="635" spans="1:9" x14ac:dyDescent="0.25">
      <c r="A635" t="s">
        <v>1127</v>
      </c>
      <c r="B635" t="s">
        <v>103</v>
      </c>
      <c r="C635" t="s">
        <v>1128</v>
      </c>
      <c r="D635" t="s">
        <v>0</v>
      </c>
      <c r="E635">
        <v>200</v>
      </c>
      <c r="G635">
        <v>3.72</v>
      </c>
      <c r="H635" s="12">
        <f t="shared" si="28"/>
        <v>744</v>
      </c>
      <c r="I635" s="12">
        <f t="shared" si="29"/>
        <v>0</v>
      </c>
    </row>
    <row r="636" spans="1:9" x14ac:dyDescent="0.25">
      <c r="A636" t="s">
        <v>1129</v>
      </c>
      <c r="B636" t="s">
        <v>103</v>
      </c>
      <c r="C636" t="s">
        <v>1130</v>
      </c>
      <c r="D636" t="s">
        <v>0</v>
      </c>
      <c r="E636">
        <v>700</v>
      </c>
      <c r="G636">
        <v>3.72</v>
      </c>
      <c r="H636" s="12">
        <f t="shared" si="28"/>
        <v>2604</v>
      </c>
      <c r="I636" s="12">
        <f t="shared" si="29"/>
        <v>0</v>
      </c>
    </row>
    <row r="637" spans="1:9" x14ac:dyDescent="0.25">
      <c r="A637" t="s">
        <v>1131</v>
      </c>
      <c r="B637" t="s">
        <v>103</v>
      </c>
      <c r="C637" t="s">
        <v>1132</v>
      </c>
      <c r="D637" t="s">
        <v>0</v>
      </c>
      <c r="E637">
        <v>100</v>
      </c>
      <c r="G637">
        <v>3.72</v>
      </c>
      <c r="H637" s="12">
        <f t="shared" si="28"/>
        <v>372</v>
      </c>
      <c r="I637" s="12">
        <f t="shared" si="29"/>
        <v>0</v>
      </c>
    </row>
    <row r="638" spans="1:9" x14ac:dyDescent="0.25">
      <c r="A638" t="s">
        <v>1133</v>
      </c>
      <c r="B638" t="s">
        <v>103</v>
      </c>
      <c r="C638" t="s">
        <v>1134</v>
      </c>
      <c r="D638" t="s">
        <v>0</v>
      </c>
      <c r="E638">
        <v>300</v>
      </c>
      <c r="G638">
        <v>3.72</v>
      </c>
      <c r="H638" s="12">
        <f t="shared" si="28"/>
        <v>1116</v>
      </c>
      <c r="I638" s="12">
        <f t="shared" si="29"/>
        <v>0</v>
      </c>
    </row>
    <row r="639" spans="1:9" x14ac:dyDescent="0.25">
      <c r="A639" t="s">
        <v>1135</v>
      </c>
      <c r="B639" t="s">
        <v>103</v>
      </c>
      <c r="C639" t="s">
        <v>1128</v>
      </c>
      <c r="D639" t="s">
        <v>0</v>
      </c>
      <c r="E639">
        <v>50</v>
      </c>
      <c r="G639">
        <v>3.72</v>
      </c>
      <c r="H639" s="12">
        <f t="shared" si="28"/>
        <v>186</v>
      </c>
      <c r="I639" s="12">
        <f t="shared" si="29"/>
        <v>0</v>
      </c>
    </row>
    <row r="640" spans="1:9" x14ac:dyDescent="0.25">
      <c r="A640" t="s">
        <v>1136</v>
      </c>
      <c r="B640" t="s">
        <v>103</v>
      </c>
      <c r="C640" t="s">
        <v>1130</v>
      </c>
      <c r="D640" t="s">
        <v>0</v>
      </c>
      <c r="E640">
        <v>50</v>
      </c>
      <c r="G640">
        <v>3.72</v>
      </c>
      <c r="H640" s="12">
        <f t="shared" si="28"/>
        <v>186</v>
      </c>
      <c r="I640" s="12">
        <f t="shared" si="29"/>
        <v>0</v>
      </c>
    </row>
    <row r="641" spans="1:9" x14ac:dyDescent="0.25">
      <c r="A641" t="s">
        <v>1137</v>
      </c>
      <c r="B641" t="s">
        <v>103</v>
      </c>
      <c r="C641" t="s">
        <v>1132</v>
      </c>
      <c r="D641" t="s">
        <v>0</v>
      </c>
      <c r="E641">
        <v>50</v>
      </c>
      <c r="G641">
        <v>3.72</v>
      </c>
      <c r="H641" s="12">
        <f t="shared" si="28"/>
        <v>186</v>
      </c>
      <c r="I641" s="12">
        <f t="shared" si="29"/>
        <v>0</v>
      </c>
    </row>
    <row r="642" spans="1:9" x14ac:dyDescent="0.25">
      <c r="A642" t="s">
        <v>1138</v>
      </c>
      <c r="B642" t="s">
        <v>103</v>
      </c>
      <c r="C642" t="s">
        <v>1134</v>
      </c>
      <c r="D642" t="s">
        <v>0</v>
      </c>
      <c r="E642">
        <v>200</v>
      </c>
      <c r="G642">
        <v>3.72</v>
      </c>
      <c r="H642" s="12">
        <f t="shared" si="28"/>
        <v>744</v>
      </c>
      <c r="I642" s="12">
        <f t="shared" si="29"/>
        <v>0</v>
      </c>
    </row>
    <row r="643" spans="1:9" x14ac:dyDescent="0.25">
      <c r="A643" t="s">
        <v>1139</v>
      </c>
      <c r="B643" t="s">
        <v>103</v>
      </c>
      <c r="C643" t="s">
        <v>1140</v>
      </c>
      <c r="D643" t="s">
        <v>0</v>
      </c>
      <c r="E643">
        <v>50</v>
      </c>
      <c r="G643">
        <v>9.4</v>
      </c>
      <c r="H643" s="12">
        <f t="shared" si="28"/>
        <v>470</v>
      </c>
      <c r="I643" s="12">
        <f t="shared" si="29"/>
        <v>0</v>
      </c>
    </row>
    <row r="644" spans="1:9" x14ac:dyDescent="0.25">
      <c r="A644" t="s">
        <v>1141</v>
      </c>
      <c r="B644" t="s">
        <v>103</v>
      </c>
      <c r="C644" t="s">
        <v>1142</v>
      </c>
      <c r="D644" t="s">
        <v>0</v>
      </c>
      <c r="E644">
        <v>300</v>
      </c>
      <c r="G644">
        <v>4.1900000000000004</v>
      </c>
      <c r="H644" s="12">
        <f t="shared" si="28"/>
        <v>1257.0000000000002</v>
      </c>
      <c r="I644" s="12">
        <f t="shared" si="29"/>
        <v>0</v>
      </c>
    </row>
    <row r="645" spans="1:9" x14ac:dyDescent="0.25">
      <c r="A645" t="s">
        <v>1143</v>
      </c>
      <c r="B645" t="s">
        <v>103</v>
      </c>
      <c r="C645" t="s">
        <v>1144</v>
      </c>
      <c r="D645" t="s">
        <v>0</v>
      </c>
      <c r="E645">
        <v>800</v>
      </c>
      <c r="G645">
        <v>4.1900000000000004</v>
      </c>
      <c r="H645" s="12">
        <f t="shared" si="28"/>
        <v>3352.0000000000005</v>
      </c>
      <c r="I645" s="12">
        <f t="shared" si="29"/>
        <v>0</v>
      </c>
    </row>
    <row r="646" spans="1:9" x14ac:dyDescent="0.25">
      <c r="A646" t="s">
        <v>1145</v>
      </c>
      <c r="B646" t="s">
        <v>103</v>
      </c>
      <c r="C646" t="s">
        <v>1146</v>
      </c>
      <c r="D646" t="s">
        <v>0</v>
      </c>
      <c r="E646">
        <v>100</v>
      </c>
      <c r="G646">
        <v>4.1900000000000004</v>
      </c>
      <c r="H646" s="12">
        <f t="shared" si="28"/>
        <v>419.00000000000006</v>
      </c>
      <c r="I646" s="12">
        <f t="shared" si="29"/>
        <v>0</v>
      </c>
    </row>
    <row r="647" spans="1:9" x14ac:dyDescent="0.25">
      <c r="A647" t="s">
        <v>1147</v>
      </c>
      <c r="B647" t="s">
        <v>103</v>
      </c>
      <c r="C647" t="s">
        <v>1148</v>
      </c>
      <c r="D647" t="s">
        <v>0</v>
      </c>
      <c r="E647">
        <v>300</v>
      </c>
      <c r="G647">
        <v>4.1900000000000004</v>
      </c>
      <c r="H647" s="12">
        <f t="shared" si="28"/>
        <v>1257.0000000000002</v>
      </c>
      <c r="I647" s="12">
        <f t="shared" si="29"/>
        <v>0</v>
      </c>
    </row>
    <row r="648" spans="1:9" x14ac:dyDescent="0.25">
      <c r="A648" t="s">
        <v>1149</v>
      </c>
      <c r="B648" t="s">
        <v>103</v>
      </c>
      <c r="C648" t="s">
        <v>1142</v>
      </c>
      <c r="D648" t="s">
        <v>0</v>
      </c>
      <c r="E648">
        <v>50</v>
      </c>
      <c r="G648">
        <v>4.1900000000000004</v>
      </c>
      <c r="H648" s="12">
        <f t="shared" si="28"/>
        <v>209.50000000000003</v>
      </c>
      <c r="I648" s="12">
        <f t="shared" si="29"/>
        <v>0</v>
      </c>
    </row>
    <row r="649" spans="1:9" x14ac:dyDescent="0.25">
      <c r="A649" t="s">
        <v>1150</v>
      </c>
      <c r="B649" t="s">
        <v>103</v>
      </c>
      <c r="C649" t="s">
        <v>1144</v>
      </c>
      <c r="D649" t="s">
        <v>0</v>
      </c>
      <c r="E649">
        <v>50</v>
      </c>
      <c r="G649">
        <v>4.1900000000000004</v>
      </c>
      <c r="H649" s="12">
        <f t="shared" si="28"/>
        <v>209.50000000000003</v>
      </c>
      <c r="I649" s="12">
        <f t="shared" si="29"/>
        <v>0</v>
      </c>
    </row>
    <row r="650" spans="1:9" x14ac:dyDescent="0.25">
      <c r="A650" t="s">
        <v>1151</v>
      </c>
      <c r="B650" t="s">
        <v>103</v>
      </c>
      <c r="C650" t="s">
        <v>1146</v>
      </c>
      <c r="D650" t="s">
        <v>0</v>
      </c>
      <c r="E650">
        <v>100</v>
      </c>
      <c r="G650">
        <v>4.1900000000000004</v>
      </c>
      <c r="H650" s="12">
        <f t="shared" si="28"/>
        <v>419.00000000000006</v>
      </c>
      <c r="I650" s="12">
        <f t="shared" si="29"/>
        <v>0</v>
      </c>
    </row>
    <row r="651" spans="1:9" x14ac:dyDescent="0.25">
      <c r="A651" t="s">
        <v>1152</v>
      </c>
      <c r="B651" t="s">
        <v>103</v>
      </c>
      <c r="C651" t="s">
        <v>1148</v>
      </c>
      <c r="D651" t="s">
        <v>0</v>
      </c>
      <c r="E651">
        <v>200</v>
      </c>
      <c r="G651">
        <v>4.1900000000000004</v>
      </c>
      <c r="H651" s="12">
        <f t="shared" si="28"/>
        <v>838.00000000000011</v>
      </c>
      <c r="I651" s="12">
        <f t="shared" si="29"/>
        <v>0</v>
      </c>
    </row>
    <row r="652" spans="1:9" x14ac:dyDescent="0.25">
      <c r="A652" t="s">
        <v>1153</v>
      </c>
      <c r="B652" t="s">
        <v>103</v>
      </c>
      <c r="C652" t="s">
        <v>1154</v>
      </c>
      <c r="D652" t="s">
        <v>0</v>
      </c>
      <c r="E652">
        <v>100</v>
      </c>
      <c r="G652">
        <v>8.4600000000000009</v>
      </c>
      <c r="H652" s="12">
        <f t="shared" si="28"/>
        <v>846.00000000000011</v>
      </c>
      <c r="I652" s="12">
        <f t="shared" si="29"/>
        <v>0</v>
      </c>
    </row>
    <row r="653" spans="1:9" x14ac:dyDescent="0.25">
      <c r="A653" t="s">
        <v>1155</v>
      </c>
      <c r="B653" t="s">
        <v>103</v>
      </c>
      <c r="C653" t="s">
        <v>1156</v>
      </c>
      <c r="D653" t="s">
        <v>0</v>
      </c>
      <c r="E653">
        <v>900</v>
      </c>
      <c r="G653">
        <v>4.17</v>
      </c>
      <c r="H653" s="12">
        <f t="shared" si="28"/>
        <v>3753</v>
      </c>
      <c r="I653" s="12">
        <f t="shared" si="29"/>
        <v>0</v>
      </c>
    </row>
    <row r="654" spans="1:9" x14ac:dyDescent="0.25">
      <c r="A654" t="s">
        <v>1157</v>
      </c>
      <c r="B654" t="s">
        <v>103</v>
      </c>
      <c r="C654" t="s">
        <v>1158</v>
      </c>
      <c r="D654" t="s">
        <v>0</v>
      </c>
      <c r="E654">
        <v>500</v>
      </c>
      <c r="G654">
        <v>4.17</v>
      </c>
      <c r="H654" s="12">
        <f t="shared" si="28"/>
        <v>2085</v>
      </c>
      <c r="I654" s="12">
        <f t="shared" si="29"/>
        <v>0</v>
      </c>
    </row>
    <row r="655" spans="1:9" x14ac:dyDescent="0.25">
      <c r="A655" t="s">
        <v>1159</v>
      </c>
      <c r="B655" t="s">
        <v>103</v>
      </c>
      <c r="C655" t="s">
        <v>1160</v>
      </c>
      <c r="D655" t="s">
        <v>0</v>
      </c>
      <c r="E655">
        <v>900</v>
      </c>
      <c r="G655">
        <v>4.17</v>
      </c>
      <c r="H655" s="12">
        <f t="shared" si="28"/>
        <v>3753</v>
      </c>
      <c r="I655" s="12">
        <f t="shared" si="29"/>
        <v>0</v>
      </c>
    </row>
    <row r="656" spans="1:9" x14ac:dyDescent="0.25">
      <c r="A656" t="s">
        <v>1161</v>
      </c>
      <c r="B656" t="s">
        <v>103</v>
      </c>
      <c r="C656" t="s">
        <v>1162</v>
      </c>
      <c r="D656" t="s">
        <v>0</v>
      </c>
      <c r="E656">
        <v>900</v>
      </c>
      <c r="G656">
        <v>4.17</v>
      </c>
      <c r="H656" s="12">
        <f t="shared" si="28"/>
        <v>3753</v>
      </c>
      <c r="I656" s="12">
        <f t="shared" si="29"/>
        <v>0</v>
      </c>
    </row>
    <row r="657" spans="1:9" x14ac:dyDescent="0.25">
      <c r="A657" t="s">
        <v>1163</v>
      </c>
      <c r="B657" t="s">
        <v>103</v>
      </c>
      <c r="C657" t="s">
        <v>1156</v>
      </c>
      <c r="D657" t="s">
        <v>0</v>
      </c>
      <c r="E657">
        <v>100</v>
      </c>
      <c r="G657">
        <v>4.17</v>
      </c>
      <c r="H657" s="12">
        <f t="shared" si="28"/>
        <v>417</v>
      </c>
      <c r="I657" s="12">
        <f t="shared" si="29"/>
        <v>0</v>
      </c>
    </row>
    <row r="658" spans="1:9" x14ac:dyDescent="0.25">
      <c r="A658" t="s">
        <v>1164</v>
      </c>
      <c r="B658" t="s">
        <v>103</v>
      </c>
      <c r="C658" t="s">
        <v>1158</v>
      </c>
      <c r="D658" t="s">
        <v>0</v>
      </c>
      <c r="E658">
        <v>100</v>
      </c>
      <c r="G658">
        <v>4.17</v>
      </c>
      <c r="H658" s="12">
        <f t="shared" si="28"/>
        <v>417</v>
      </c>
      <c r="I658" s="12">
        <f t="shared" si="29"/>
        <v>0</v>
      </c>
    </row>
    <row r="659" spans="1:9" x14ac:dyDescent="0.25">
      <c r="A659" t="s">
        <v>1165</v>
      </c>
      <c r="B659" t="s">
        <v>103</v>
      </c>
      <c r="C659" t="s">
        <v>1160</v>
      </c>
      <c r="D659" t="s">
        <v>0</v>
      </c>
      <c r="E659">
        <v>50</v>
      </c>
      <c r="G659">
        <v>4.17</v>
      </c>
      <c r="H659" s="12">
        <f t="shared" si="28"/>
        <v>208.5</v>
      </c>
      <c r="I659" s="12">
        <f t="shared" si="29"/>
        <v>0</v>
      </c>
    </row>
    <row r="660" spans="1:9" x14ac:dyDescent="0.25">
      <c r="A660" t="s">
        <v>1166</v>
      </c>
      <c r="B660" t="s">
        <v>103</v>
      </c>
      <c r="C660" t="s">
        <v>1162</v>
      </c>
      <c r="D660" t="s">
        <v>0</v>
      </c>
      <c r="E660">
        <v>100</v>
      </c>
      <c r="G660">
        <v>4.17</v>
      </c>
      <c r="H660" s="12">
        <f t="shared" si="28"/>
        <v>417</v>
      </c>
      <c r="I660" s="12">
        <f t="shared" si="29"/>
        <v>0</v>
      </c>
    </row>
    <row r="661" spans="1:9" x14ac:dyDescent="0.25">
      <c r="A661" t="s">
        <v>1167</v>
      </c>
      <c r="B661" t="s">
        <v>103</v>
      </c>
      <c r="C661" t="s">
        <v>1168</v>
      </c>
      <c r="D661" t="s">
        <v>0</v>
      </c>
      <c r="E661">
        <v>50</v>
      </c>
      <c r="G661">
        <v>10.24</v>
      </c>
      <c r="H661" s="12">
        <f t="shared" si="28"/>
        <v>512</v>
      </c>
      <c r="I661" s="12">
        <f t="shared" si="29"/>
        <v>0</v>
      </c>
    </row>
    <row r="662" spans="1:9" x14ac:dyDescent="0.25">
      <c r="A662" t="s">
        <v>1169</v>
      </c>
      <c r="B662" t="s">
        <v>103</v>
      </c>
      <c r="C662" t="s">
        <v>1170</v>
      </c>
      <c r="D662" t="s">
        <v>0</v>
      </c>
      <c r="E662">
        <v>100</v>
      </c>
      <c r="G662">
        <v>5</v>
      </c>
      <c r="H662" s="12">
        <f t="shared" si="28"/>
        <v>500</v>
      </c>
      <c r="I662" s="12">
        <f t="shared" si="29"/>
        <v>0</v>
      </c>
    </row>
    <row r="663" spans="1:9" x14ac:dyDescent="0.25">
      <c r="A663" t="s">
        <v>1171</v>
      </c>
      <c r="B663" t="s">
        <v>103</v>
      </c>
      <c r="C663" t="s">
        <v>1172</v>
      </c>
      <c r="D663" t="s">
        <v>0</v>
      </c>
      <c r="E663">
        <v>100</v>
      </c>
      <c r="G663">
        <v>5</v>
      </c>
      <c r="H663" s="12">
        <f t="shared" si="28"/>
        <v>500</v>
      </c>
      <c r="I663" s="12">
        <f t="shared" si="29"/>
        <v>0</v>
      </c>
    </row>
    <row r="664" spans="1:9" x14ac:dyDescent="0.25">
      <c r="A664" t="s">
        <v>1173</v>
      </c>
      <c r="B664" t="s">
        <v>103</v>
      </c>
      <c r="C664" t="s">
        <v>1174</v>
      </c>
      <c r="D664" t="s">
        <v>0</v>
      </c>
      <c r="E664">
        <v>250</v>
      </c>
      <c r="G664">
        <v>5</v>
      </c>
      <c r="H664" s="12">
        <f t="shared" si="28"/>
        <v>1250</v>
      </c>
      <c r="I664" s="12">
        <f t="shared" si="29"/>
        <v>0</v>
      </c>
    </row>
    <row r="665" spans="1:9" x14ac:dyDescent="0.25">
      <c r="A665" t="s">
        <v>1175</v>
      </c>
      <c r="B665" t="s">
        <v>103</v>
      </c>
      <c r="C665" t="s">
        <v>1176</v>
      </c>
      <c r="D665" t="s">
        <v>1177</v>
      </c>
      <c r="E665">
        <v>150</v>
      </c>
      <c r="G665">
        <v>5</v>
      </c>
      <c r="H665" s="12">
        <f t="shared" si="28"/>
        <v>750</v>
      </c>
      <c r="I665" s="12">
        <f t="shared" si="29"/>
        <v>0</v>
      </c>
    </row>
    <row r="666" spans="1:9" x14ac:dyDescent="0.25">
      <c r="A666" t="s">
        <v>1178</v>
      </c>
      <c r="B666" t="s">
        <v>103</v>
      </c>
      <c r="C666" t="s">
        <v>1170</v>
      </c>
      <c r="D666" t="s">
        <v>0</v>
      </c>
      <c r="E666">
        <v>50</v>
      </c>
      <c r="G666">
        <v>5</v>
      </c>
      <c r="H666" s="12">
        <f t="shared" si="28"/>
        <v>250</v>
      </c>
      <c r="I666" s="12">
        <f t="shared" si="29"/>
        <v>0</v>
      </c>
    </row>
    <row r="667" spans="1:9" x14ac:dyDescent="0.25">
      <c r="A667" t="s">
        <v>1179</v>
      </c>
      <c r="B667" t="s">
        <v>103</v>
      </c>
      <c r="C667" t="s">
        <v>1172</v>
      </c>
      <c r="D667" t="s">
        <v>0</v>
      </c>
      <c r="E667">
        <v>50</v>
      </c>
      <c r="G667">
        <v>5</v>
      </c>
      <c r="H667" s="12">
        <f t="shared" si="28"/>
        <v>250</v>
      </c>
      <c r="I667" s="12">
        <f t="shared" si="29"/>
        <v>0</v>
      </c>
    </row>
    <row r="668" spans="1:9" x14ac:dyDescent="0.25">
      <c r="A668" t="s">
        <v>1180</v>
      </c>
      <c r="B668" t="s">
        <v>103</v>
      </c>
      <c r="C668" t="s">
        <v>1174</v>
      </c>
      <c r="D668" t="s">
        <v>0</v>
      </c>
      <c r="E668">
        <v>50</v>
      </c>
      <c r="G668">
        <v>5</v>
      </c>
      <c r="H668" s="12">
        <f t="shared" si="28"/>
        <v>250</v>
      </c>
      <c r="I668" s="12">
        <f t="shared" si="29"/>
        <v>0</v>
      </c>
    </row>
    <row r="669" spans="1:9" x14ac:dyDescent="0.25">
      <c r="A669" t="s">
        <v>1181</v>
      </c>
      <c r="B669" t="s">
        <v>103</v>
      </c>
      <c r="C669" t="s">
        <v>1176</v>
      </c>
      <c r="D669" t="s">
        <v>0</v>
      </c>
      <c r="E669">
        <v>50</v>
      </c>
      <c r="G669">
        <v>5</v>
      </c>
      <c r="H669" s="12">
        <f t="shared" si="28"/>
        <v>250</v>
      </c>
      <c r="I669" s="12">
        <f t="shared" si="29"/>
        <v>0</v>
      </c>
    </row>
    <row r="670" spans="1:9" x14ac:dyDescent="0.25">
      <c r="A670" t="s">
        <v>1182</v>
      </c>
      <c r="B670" t="s">
        <v>103</v>
      </c>
      <c r="C670" t="s">
        <v>1183</v>
      </c>
      <c r="D670" t="s">
        <v>0</v>
      </c>
      <c r="E670">
        <v>5</v>
      </c>
      <c r="G670">
        <v>10.52</v>
      </c>
      <c r="H670" s="12">
        <f t="shared" si="28"/>
        <v>52.599999999999994</v>
      </c>
      <c r="I670" s="12">
        <f t="shared" si="29"/>
        <v>0</v>
      </c>
    </row>
    <row r="671" spans="1:9" x14ac:dyDescent="0.25">
      <c r="A671" t="s">
        <v>1184</v>
      </c>
      <c r="B671" t="s">
        <v>103</v>
      </c>
      <c r="C671" t="s">
        <v>1185</v>
      </c>
      <c r="D671" t="s">
        <v>0</v>
      </c>
      <c r="E671">
        <v>10</v>
      </c>
      <c r="G671">
        <v>6.51</v>
      </c>
      <c r="H671" s="12">
        <f t="shared" si="28"/>
        <v>65.099999999999994</v>
      </c>
      <c r="I671" s="12">
        <f t="shared" si="29"/>
        <v>0</v>
      </c>
    </row>
    <row r="672" spans="1:9" x14ac:dyDescent="0.25">
      <c r="A672" t="s">
        <v>1186</v>
      </c>
      <c r="B672" t="s">
        <v>103</v>
      </c>
      <c r="C672" t="s">
        <v>1187</v>
      </c>
      <c r="D672" t="s">
        <v>0</v>
      </c>
      <c r="E672">
        <v>40</v>
      </c>
      <c r="G672">
        <v>6.51</v>
      </c>
      <c r="H672" s="12">
        <f t="shared" si="28"/>
        <v>260.39999999999998</v>
      </c>
      <c r="I672" s="12">
        <f t="shared" si="29"/>
        <v>0</v>
      </c>
    </row>
    <row r="673" spans="1:9" x14ac:dyDescent="0.25">
      <c r="A673" t="s">
        <v>1188</v>
      </c>
      <c r="B673" t="s">
        <v>103</v>
      </c>
      <c r="C673" t="s">
        <v>1189</v>
      </c>
      <c r="D673" t="s">
        <v>0</v>
      </c>
      <c r="E673">
        <v>20</v>
      </c>
      <c r="G673">
        <v>6.51</v>
      </c>
      <c r="H673" s="12">
        <f t="shared" si="28"/>
        <v>130.19999999999999</v>
      </c>
      <c r="I673" s="12">
        <f t="shared" si="29"/>
        <v>0</v>
      </c>
    </row>
    <row r="674" spans="1:9" x14ac:dyDescent="0.25">
      <c r="A674" t="s">
        <v>1190</v>
      </c>
      <c r="B674" t="s">
        <v>103</v>
      </c>
      <c r="C674" t="s">
        <v>1191</v>
      </c>
      <c r="D674" t="s">
        <v>0</v>
      </c>
      <c r="E674">
        <v>5</v>
      </c>
      <c r="G674">
        <v>6.51</v>
      </c>
      <c r="H674" s="12">
        <f t="shared" si="28"/>
        <v>32.549999999999997</v>
      </c>
      <c r="I674" s="12">
        <f t="shared" si="29"/>
        <v>0</v>
      </c>
    </row>
    <row r="675" spans="1:9" x14ac:dyDescent="0.25">
      <c r="A675" t="s">
        <v>1192</v>
      </c>
      <c r="B675" t="s">
        <v>103</v>
      </c>
      <c r="C675" t="s">
        <v>1193</v>
      </c>
      <c r="D675" t="s">
        <v>0</v>
      </c>
      <c r="E675">
        <v>10</v>
      </c>
      <c r="G675">
        <v>20.68</v>
      </c>
      <c r="H675" s="12">
        <f t="shared" si="28"/>
        <v>206.8</v>
      </c>
      <c r="I675" s="12">
        <f t="shared" si="29"/>
        <v>0</v>
      </c>
    </row>
    <row r="676" spans="1:9" x14ac:dyDescent="0.25">
      <c r="A676" t="s">
        <v>1194</v>
      </c>
      <c r="B676" t="s">
        <v>103</v>
      </c>
      <c r="C676" t="s">
        <v>1195</v>
      </c>
      <c r="D676" t="s">
        <v>0</v>
      </c>
      <c r="E676">
        <v>100</v>
      </c>
      <c r="G676">
        <v>20.68</v>
      </c>
      <c r="H676" s="12">
        <f t="shared" si="28"/>
        <v>2068</v>
      </c>
      <c r="I676" s="12">
        <f t="shared" si="29"/>
        <v>0</v>
      </c>
    </row>
    <row r="677" spans="1:9" x14ac:dyDescent="0.25">
      <c r="A677" t="s">
        <v>1196</v>
      </c>
      <c r="B677" t="s">
        <v>103</v>
      </c>
      <c r="C677" t="s">
        <v>1197</v>
      </c>
      <c r="D677" t="s">
        <v>0</v>
      </c>
      <c r="E677">
        <v>100</v>
      </c>
      <c r="G677">
        <v>20.68</v>
      </c>
      <c r="H677" s="12">
        <f t="shared" si="28"/>
        <v>2068</v>
      </c>
      <c r="I677" s="12">
        <f t="shared" si="29"/>
        <v>0</v>
      </c>
    </row>
    <row r="678" spans="1:9" x14ac:dyDescent="0.25">
      <c r="A678" t="s">
        <v>1198</v>
      </c>
      <c r="B678" t="s">
        <v>103</v>
      </c>
      <c r="C678" t="s">
        <v>1199</v>
      </c>
      <c r="D678" t="s">
        <v>0</v>
      </c>
      <c r="E678">
        <v>50</v>
      </c>
      <c r="G678">
        <v>21.68</v>
      </c>
      <c r="H678" s="12">
        <f t="shared" si="28"/>
        <v>1084</v>
      </c>
      <c r="I678" s="12">
        <f t="shared" si="29"/>
        <v>0</v>
      </c>
    </row>
    <row r="679" spans="1:9" x14ac:dyDescent="0.25">
      <c r="A679" t="s">
        <v>1200</v>
      </c>
      <c r="B679" t="s">
        <v>103</v>
      </c>
      <c r="C679" t="s">
        <v>1201</v>
      </c>
      <c r="D679" t="s">
        <v>0</v>
      </c>
      <c r="E679">
        <v>50</v>
      </c>
      <c r="G679">
        <v>3.01</v>
      </c>
      <c r="H679" s="12">
        <f t="shared" si="28"/>
        <v>150.5</v>
      </c>
      <c r="I679" s="12">
        <f t="shared" si="29"/>
        <v>0</v>
      </c>
    </row>
    <row r="680" spans="1:9" x14ac:dyDescent="0.25">
      <c r="A680" t="s">
        <v>1202</v>
      </c>
      <c r="B680" t="s">
        <v>103</v>
      </c>
      <c r="C680" t="s">
        <v>1203</v>
      </c>
      <c r="D680" t="s">
        <v>0</v>
      </c>
      <c r="E680">
        <v>100</v>
      </c>
      <c r="G680">
        <v>3.01</v>
      </c>
      <c r="H680" s="12">
        <f t="shared" si="28"/>
        <v>301</v>
      </c>
      <c r="I680" s="12">
        <f t="shared" si="29"/>
        <v>0</v>
      </c>
    </row>
    <row r="681" spans="1:9" x14ac:dyDescent="0.25">
      <c r="A681" t="s">
        <v>1204</v>
      </c>
      <c r="B681" t="s">
        <v>103</v>
      </c>
      <c r="C681" t="s">
        <v>1205</v>
      </c>
      <c r="D681" t="s">
        <v>0</v>
      </c>
      <c r="E681">
        <v>50</v>
      </c>
      <c r="G681">
        <v>3.01</v>
      </c>
      <c r="H681" s="12">
        <f t="shared" ref="H681:H744" si="30">SUM(E681*G681)</f>
        <v>150.5</v>
      </c>
      <c r="I681" s="12">
        <f t="shared" ref="I681:I744" si="31">G681*F681</f>
        <v>0</v>
      </c>
    </row>
    <row r="682" spans="1:9" x14ac:dyDescent="0.25">
      <c r="H682" s="12">
        <f t="shared" si="30"/>
        <v>0</v>
      </c>
      <c r="I682" s="12">
        <f t="shared" si="31"/>
        <v>0</v>
      </c>
    </row>
    <row r="683" spans="1:9" x14ac:dyDescent="0.25">
      <c r="A683" t="s">
        <v>1206</v>
      </c>
      <c r="B683" t="s">
        <v>103</v>
      </c>
      <c r="C683" t="s">
        <v>1207</v>
      </c>
      <c r="D683" t="s">
        <v>0</v>
      </c>
      <c r="E683">
        <v>50</v>
      </c>
      <c r="G683">
        <v>3.01</v>
      </c>
      <c r="H683" s="12">
        <f t="shared" si="30"/>
        <v>150.5</v>
      </c>
      <c r="I683" s="12">
        <f t="shared" si="31"/>
        <v>0</v>
      </c>
    </row>
    <row r="684" spans="1:9" x14ac:dyDescent="0.25">
      <c r="A684" t="s">
        <v>1208</v>
      </c>
      <c r="B684" t="s">
        <v>103</v>
      </c>
      <c r="C684" t="s">
        <v>1209</v>
      </c>
      <c r="D684" t="s">
        <v>0</v>
      </c>
      <c r="E684">
        <v>20</v>
      </c>
      <c r="G684">
        <v>3.4</v>
      </c>
      <c r="H684" s="12">
        <f t="shared" si="30"/>
        <v>68</v>
      </c>
      <c r="I684" s="12">
        <f t="shared" si="31"/>
        <v>0</v>
      </c>
    </row>
    <row r="685" spans="1:9" x14ac:dyDescent="0.25">
      <c r="A685" t="s">
        <v>1210</v>
      </c>
      <c r="B685" t="s">
        <v>103</v>
      </c>
      <c r="C685" t="s">
        <v>1211</v>
      </c>
      <c r="D685" t="s">
        <v>0</v>
      </c>
      <c r="E685">
        <v>100</v>
      </c>
      <c r="G685">
        <v>3.4</v>
      </c>
      <c r="H685" s="12">
        <f t="shared" si="30"/>
        <v>340</v>
      </c>
      <c r="I685" s="12">
        <f t="shared" si="31"/>
        <v>0</v>
      </c>
    </row>
    <row r="686" spans="1:9" x14ac:dyDescent="0.25">
      <c r="A686" t="s">
        <v>1212</v>
      </c>
      <c r="B686" t="s">
        <v>103</v>
      </c>
      <c r="C686" t="s">
        <v>1213</v>
      </c>
      <c r="D686" t="s">
        <v>0</v>
      </c>
      <c r="E686">
        <v>30</v>
      </c>
      <c r="G686">
        <v>3.4</v>
      </c>
      <c r="H686" s="12">
        <f t="shared" si="30"/>
        <v>102</v>
      </c>
      <c r="I686" s="12">
        <f t="shared" si="31"/>
        <v>0</v>
      </c>
    </row>
    <row r="687" spans="1:9" x14ac:dyDescent="0.25">
      <c r="A687" t="s">
        <v>1214</v>
      </c>
      <c r="B687" t="s">
        <v>103</v>
      </c>
      <c r="C687" t="s">
        <v>1215</v>
      </c>
      <c r="D687" t="s">
        <v>0</v>
      </c>
      <c r="E687">
        <v>25</v>
      </c>
      <c r="G687">
        <v>3.4</v>
      </c>
      <c r="H687" s="12">
        <f t="shared" si="30"/>
        <v>85</v>
      </c>
      <c r="I687" s="12">
        <f t="shared" si="31"/>
        <v>0</v>
      </c>
    </row>
    <row r="688" spans="1:9" x14ac:dyDescent="0.25">
      <c r="A688" t="s">
        <v>1216</v>
      </c>
      <c r="B688" t="s">
        <v>103</v>
      </c>
      <c r="C688" t="s">
        <v>1217</v>
      </c>
      <c r="D688" t="s">
        <v>0</v>
      </c>
      <c r="E688">
        <v>20</v>
      </c>
      <c r="G688">
        <v>3.62</v>
      </c>
      <c r="H688" s="12">
        <f t="shared" si="30"/>
        <v>72.400000000000006</v>
      </c>
      <c r="I688" s="12">
        <f t="shared" si="31"/>
        <v>0</v>
      </c>
    </row>
    <row r="689" spans="1:9" x14ac:dyDescent="0.25">
      <c r="A689" t="s">
        <v>1218</v>
      </c>
      <c r="B689" t="s">
        <v>103</v>
      </c>
      <c r="C689" t="s">
        <v>1219</v>
      </c>
      <c r="D689" t="s">
        <v>0</v>
      </c>
      <c r="E689">
        <v>50</v>
      </c>
      <c r="G689">
        <v>3.62</v>
      </c>
      <c r="H689" s="12">
        <f t="shared" si="30"/>
        <v>181</v>
      </c>
      <c r="I689" s="12">
        <f t="shared" si="31"/>
        <v>0</v>
      </c>
    </row>
    <row r="690" spans="1:9" x14ac:dyDescent="0.25">
      <c r="A690" t="s">
        <v>1220</v>
      </c>
      <c r="B690" t="s">
        <v>103</v>
      </c>
      <c r="C690" t="s">
        <v>1221</v>
      </c>
      <c r="D690" t="s">
        <v>0</v>
      </c>
      <c r="E690">
        <v>30</v>
      </c>
      <c r="G690">
        <v>3.62</v>
      </c>
      <c r="H690" s="12">
        <f t="shared" si="30"/>
        <v>108.60000000000001</v>
      </c>
      <c r="I690" s="12">
        <f t="shared" si="31"/>
        <v>0</v>
      </c>
    </row>
    <row r="691" spans="1:9" x14ac:dyDescent="0.25">
      <c r="A691" t="s">
        <v>1222</v>
      </c>
      <c r="B691" t="s">
        <v>103</v>
      </c>
      <c r="C691" t="s">
        <v>1223</v>
      </c>
      <c r="D691" t="s">
        <v>0</v>
      </c>
      <c r="E691">
        <v>25</v>
      </c>
      <c r="G691">
        <v>3.62</v>
      </c>
      <c r="H691" s="12">
        <f t="shared" si="30"/>
        <v>90.5</v>
      </c>
      <c r="I691" s="12">
        <f t="shared" si="31"/>
        <v>0</v>
      </c>
    </row>
    <row r="692" spans="1:9" x14ac:dyDescent="0.25">
      <c r="A692" t="s">
        <v>1224</v>
      </c>
      <c r="B692" t="s">
        <v>103</v>
      </c>
      <c r="C692" t="s">
        <v>1225</v>
      </c>
      <c r="D692" t="s">
        <v>0</v>
      </c>
      <c r="E692">
        <v>20</v>
      </c>
      <c r="G692">
        <v>5.34</v>
      </c>
      <c r="H692" s="12">
        <f t="shared" si="30"/>
        <v>106.8</v>
      </c>
      <c r="I692" s="12">
        <f t="shared" si="31"/>
        <v>0</v>
      </c>
    </row>
    <row r="693" spans="1:9" x14ac:dyDescent="0.25">
      <c r="A693" t="s">
        <v>1226</v>
      </c>
      <c r="B693" t="s">
        <v>103</v>
      </c>
      <c r="C693" t="s">
        <v>1227</v>
      </c>
      <c r="D693" t="s">
        <v>0</v>
      </c>
      <c r="E693">
        <v>60</v>
      </c>
      <c r="G693">
        <v>5.34</v>
      </c>
      <c r="H693" s="12">
        <f t="shared" si="30"/>
        <v>320.39999999999998</v>
      </c>
      <c r="I693" s="12">
        <f t="shared" si="31"/>
        <v>0</v>
      </c>
    </row>
    <row r="694" spans="1:9" x14ac:dyDescent="0.25">
      <c r="A694" t="s">
        <v>1228</v>
      </c>
      <c r="B694" t="s">
        <v>103</v>
      </c>
      <c r="C694" t="s">
        <v>1229</v>
      </c>
      <c r="D694" t="s">
        <v>0</v>
      </c>
      <c r="E694">
        <v>40</v>
      </c>
      <c r="G694">
        <v>5.34</v>
      </c>
      <c r="H694" s="12">
        <f t="shared" si="30"/>
        <v>213.6</v>
      </c>
      <c r="I694" s="12">
        <f t="shared" si="31"/>
        <v>0</v>
      </c>
    </row>
    <row r="695" spans="1:9" x14ac:dyDescent="0.25">
      <c r="A695" t="s">
        <v>1230</v>
      </c>
      <c r="B695" t="s">
        <v>103</v>
      </c>
      <c r="C695" t="s">
        <v>1231</v>
      </c>
      <c r="D695" t="s">
        <v>0</v>
      </c>
      <c r="E695">
        <v>30</v>
      </c>
      <c r="G695">
        <v>5.34</v>
      </c>
      <c r="H695" s="12">
        <f t="shared" si="30"/>
        <v>160.19999999999999</v>
      </c>
      <c r="I695" s="12">
        <f t="shared" si="31"/>
        <v>0</v>
      </c>
    </row>
    <row r="696" spans="1:9" x14ac:dyDescent="0.25">
      <c r="A696" t="s">
        <v>1232</v>
      </c>
      <c r="B696" t="s">
        <v>103</v>
      </c>
      <c r="C696" t="s">
        <v>1233</v>
      </c>
      <c r="D696" t="s">
        <v>0</v>
      </c>
      <c r="E696">
        <v>10</v>
      </c>
      <c r="G696">
        <v>10.74</v>
      </c>
      <c r="H696" s="12">
        <f t="shared" si="30"/>
        <v>107.4</v>
      </c>
      <c r="I696" s="12">
        <f t="shared" si="31"/>
        <v>0</v>
      </c>
    </row>
    <row r="697" spans="1:9" x14ac:dyDescent="0.25">
      <c r="A697" t="s">
        <v>1234</v>
      </c>
      <c r="B697" t="s">
        <v>103</v>
      </c>
      <c r="C697" t="s">
        <v>1235</v>
      </c>
      <c r="D697" t="s">
        <v>0</v>
      </c>
      <c r="E697">
        <v>10</v>
      </c>
      <c r="G697">
        <v>5.75</v>
      </c>
      <c r="H697" s="12">
        <f t="shared" si="30"/>
        <v>57.5</v>
      </c>
      <c r="I697" s="12">
        <f t="shared" si="31"/>
        <v>0</v>
      </c>
    </row>
    <row r="698" spans="1:9" x14ac:dyDescent="0.25">
      <c r="A698" t="s">
        <v>1236</v>
      </c>
      <c r="B698" t="s">
        <v>103</v>
      </c>
      <c r="C698" t="s">
        <v>1237</v>
      </c>
      <c r="D698" t="s">
        <v>0</v>
      </c>
      <c r="E698">
        <v>80</v>
      </c>
      <c r="G698">
        <v>5.75</v>
      </c>
      <c r="H698" s="12">
        <f t="shared" si="30"/>
        <v>460</v>
      </c>
      <c r="I698" s="12">
        <f t="shared" si="31"/>
        <v>0</v>
      </c>
    </row>
    <row r="699" spans="1:9" x14ac:dyDescent="0.25">
      <c r="A699" t="s">
        <v>1238</v>
      </c>
      <c r="B699" t="s">
        <v>103</v>
      </c>
      <c r="C699" t="s">
        <v>1239</v>
      </c>
      <c r="D699" t="s">
        <v>0</v>
      </c>
      <c r="E699">
        <v>10</v>
      </c>
      <c r="G699">
        <v>5.75</v>
      </c>
      <c r="H699" s="12">
        <f t="shared" si="30"/>
        <v>57.5</v>
      </c>
      <c r="I699" s="12">
        <f t="shared" si="31"/>
        <v>0</v>
      </c>
    </row>
    <row r="700" spans="1:9" x14ac:dyDescent="0.25">
      <c r="A700" t="s">
        <v>1240</v>
      </c>
      <c r="B700" t="s">
        <v>103</v>
      </c>
      <c r="C700" t="s">
        <v>1241</v>
      </c>
      <c r="D700" t="s">
        <v>0</v>
      </c>
      <c r="E700">
        <v>80</v>
      </c>
      <c r="G700">
        <v>5.75</v>
      </c>
      <c r="H700" s="12">
        <f t="shared" si="30"/>
        <v>460</v>
      </c>
      <c r="I700" s="12">
        <f t="shared" si="31"/>
        <v>0</v>
      </c>
    </row>
    <row r="701" spans="1:9" x14ac:dyDescent="0.25">
      <c r="A701" s="5"/>
      <c r="C701" t="s">
        <v>482</v>
      </c>
      <c r="H701" s="12">
        <f t="shared" si="30"/>
        <v>0</v>
      </c>
      <c r="I701" s="12">
        <f t="shared" si="31"/>
        <v>0</v>
      </c>
    </row>
    <row r="702" spans="1:9" x14ac:dyDescent="0.25">
      <c r="A702" s="6"/>
      <c r="C702" t="s">
        <v>484</v>
      </c>
      <c r="H702" s="12">
        <f t="shared" si="30"/>
        <v>0</v>
      </c>
      <c r="I702" s="12">
        <f t="shared" si="31"/>
        <v>0</v>
      </c>
    </row>
    <row r="703" spans="1:9" x14ac:dyDescent="0.25">
      <c r="A703" t="s">
        <v>1242</v>
      </c>
      <c r="B703" t="s">
        <v>103</v>
      </c>
      <c r="C703" t="s">
        <v>486</v>
      </c>
      <c r="D703" t="s">
        <v>1105</v>
      </c>
      <c r="E703">
        <v>-33</v>
      </c>
      <c r="G703">
        <v>89.06</v>
      </c>
      <c r="H703" s="12">
        <f t="shared" si="30"/>
        <v>-2938.98</v>
      </c>
      <c r="I703" s="12">
        <f t="shared" si="31"/>
        <v>0</v>
      </c>
    </row>
    <row r="704" spans="1:9" x14ac:dyDescent="0.25">
      <c r="A704" t="s">
        <v>1242</v>
      </c>
      <c r="B704" t="s">
        <v>103</v>
      </c>
      <c r="C704" t="s">
        <v>486</v>
      </c>
      <c r="D704" t="s">
        <v>1105</v>
      </c>
      <c r="E704">
        <v>103</v>
      </c>
      <c r="G704">
        <v>85.44</v>
      </c>
      <c r="H704" s="12">
        <f t="shared" si="30"/>
        <v>8800.32</v>
      </c>
      <c r="I704" s="12">
        <f t="shared" si="31"/>
        <v>0</v>
      </c>
    </row>
    <row r="705" spans="1:9" x14ac:dyDescent="0.25">
      <c r="A705" t="s">
        <v>1243</v>
      </c>
      <c r="B705" t="s">
        <v>103</v>
      </c>
      <c r="C705" t="s">
        <v>488</v>
      </c>
      <c r="D705" t="s">
        <v>1105</v>
      </c>
      <c r="E705">
        <v>-100</v>
      </c>
      <c r="G705">
        <v>126.18</v>
      </c>
      <c r="H705" s="12">
        <f t="shared" si="30"/>
        <v>-12618</v>
      </c>
      <c r="I705" s="12">
        <f t="shared" si="31"/>
        <v>0</v>
      </c>
    </row>
    <row r="706" spans="1:9" x14ac:dyDescent="0.25">
      <c r="A706" t="s">
        <v>1243</v>
      </c>
      <c r="B706" t="s">
        <v>103</v>
      </c>
      <c r="C706" t="s">
        <v>1244</v>
      </c>
      <c r="D706" t="s">
        <v>1105</v>
      </c>
      <c r="E706">
        <v>51</v>
      </c>
      <c r="G706">
        <v>293.14</v>
      </c>
      <c r="H706" s="12">
        <f t="shared" si="30"/>
        <v>14950.14</v>
      </c>
      <c r="I706" s="12">
        <f t="shared" si="31"/>
        <v>0</v>
      </c>
    </row>
    <row r="707" spans="1:9" x14ac:dyDescent="0.25">
      <c r="A707" t="s">
        <v>1245</v>
      </c>
      <c r="B707" t="s">
        <v>103</v>
      </c>
      <c r="C707" t="s">
        <v>488</v>
      </c>
      <c r="D707" t="s">
        <v>1105</v>
      </c>
      <c r="E707">
        <v>-8</v>
      </c>
      <c r="G707">
        <v>136.06</v>
      </c>
      <c r="H707" s="12">
        <f t="shared" si="30"/>
        <v>-1088.48</v>
      </c>
      <c r="I707" s="12">
        <f t="shared" si="31"/>
        <v>0</v>
      </c>
    </row>
    <row r="708" spans="1:9" x14ac:dyDescent="0.25">
      <c r="A708" t="s">
        <v>1246</v>
      </c>
      <c r="B708" t="s">
        <v>103</v>
      </c>
      <c r="C708" t="s">
        <v>1244</v>
      </c>
      <c r="D708" t="s">
        <v>1105</v>
      </c>
      <c r="E708">
        <v>8</v>
      </c>
      <c r="G708">
        <v>888.54</v>
      </c>
      <c r="H708" s="12">
        <f t="shared" si="30"/>
        <v>7108.32</v>
      </c>
      <c r="I708" s="12">
        <f t="shared" si="31"/>
        <v>0</v>
      </c>
    </row>
    <row r="709" spans="1:9" x14ac:dyDescent="0.25">
      <c r="A709" t="s">
        <v>1247</v>
      </c>
      <c r="B709" t="s">
        <v>103</v>
      </c>
      <c r="C709" t="s">
        <v>493</v>
      </c>
      <c r="D709" t="s">
        <v>1105</v>
      </c>
      <c r="E709">
        <v>-6</v>
      </c>
      <c r="G709">
        <v>445.71</v>
      </c>
      <c r="H709" s="12">
        <f t="shared" si="30"/>
        <v>-2674.2599999999998</v>
      </c>
      <c r="I709" s="12">
        <f t="shared" si="31"/>
        <v>0</v>
      </c>
    </row>
    <row r="710" spans="1:9" x14ac:dyDescent="0.25">
      <c r="A710" t="s">
        <v>1248</v>
      </c>
      <c r="B710" t="s">
        <v>103</v>
      </c>
      <c r="C710" t="s">
        <v>493</v>
      </c>
      <c r="D710" t="s">
        <v>1105</v>
      </c>
      <c r="E710">
        <v>-12</v>
      </c>
      <c r="G710" s="3">
        <v>2872.58</v>
      </c>
      <c r="H710" s="12">
        <f t="shared" si="30"/>
        <v>-34470.959999999999</v>
      </c>
      <c r="I710" s="12">
        <f t="shared" si="31"/>
        <v>0</v>
      </c>
    </row>
    <row r="711" spans="1:9" x14ac:dyDescent="0.25">
      <c r="A711" t="s">
        <v>1248</v>
      </c>
      <c r="B711" t="s">
        <v>103</v>
      </c>
      <c r="C711" t="s">
        <v>1249</v>
      </c>
      <c r="D711" t="s">
        <v>1105</v>
      </c>
      <c r="E711">
        <v>2</v>
      </c>
      <c r="G711" s="3">
        <v>4759.1099999999997</v>
      </c>
      <c r="H711" s="12">
        <f t="shared" si="30"/>
        <v>9518.2199999999993</v>
      </c>
      <c r="I711" s="12">
        <f t="shared" si="31"/>
        <v>0</v>
      </c>
    </row>
    <row r="712" spans="1:9" x14ac:dyDescent="0.25">
      <c r="A712" t="s">
        <v>1248</v>
      </c>
      <c r="B712" t="s">
        <v>103</v>
      </c>
      <c r="C712" t="s">
        <v>493</v>
      </c>
      <c r="D712" t="s">
        <v>1105</v>
      </c>
      <c r="E712">
        <v>25</v>
      </c>
      <c r="G712" s="3">
        <v>1712.61</v>
      </c>
      <c r="H712" s="12">
        <f t="shared" si="30"/>
        <v>42815.25</v>
      </c>
      <c r="I712" s="12">
        <f t="shared" si="31"/>
        <v>0</v>
      </c>
    </row>
    <row r="713" spans="1:9" x14ac:dyDescent="0.25">
      <c r="A713" t="s">
        <v>1250</v>
      </c>
      <c r="B713" t="s">
        <v>103</v>
      </c>
      <c r="C713" t="s">
        <v>1251</v>
      </c>
      <c r="D713" t="s">
        <v>1105</v>
      </c>
      <c r="E713">
        <v>-16</v>
      </c>
      <c r="G713">
        <v>214.17</v>
      </c>
      <c r="H713" s="12">
        <f t="shared" si="30"/>
        <v>-3426.72</v>
      </c>
      <c r="I713" s="12">
        <f t="shared" si="31"/>
        <v>0</v>
      </c>
    </row>
    <row r="714" spans="1:9" x14ac:dyDescent="0.25">
      <c r="A714" t="s">
        <v>1250</v>
      </c>
      <c r="B714" t="s">
        <v>103</v>
      </c>
      <c r="C714" t="s">
        <v>1252</v>
      </c>
      <c r="D714" t="s">
        <v>1105</v>
      </c>
      <c r="E714">
        <v>8</v>
      </c>
      <c r="G714" s="3">
        <v>2366.4</v>
      </c>
      <c r="H714" s="12">
        <f t="shared" si="30"/>
        <v>18931.2</v>
      </c>
      <c r="I714" s="12">
        <f t="shared" si="31"/>
        <v>0</v>
      </c>
    </row>
    <row r="715" spans="1:9" x14ac:dyDescent="0.25">
      <c r="A715" t="s">
        <v>1253</v>
      </c>
      <c r="B715" t="s">
        <v>103</v>
      </c>
      <c r="C715" t="s">
        <v>498</v>
      </c>
      <c r="D715" t="s">
        <v>1105</v>
      </c>
      <c r="E715">
        <v>-18</v>
      </c>
      <c r="G715">
        <v>0</v>
      </c>
      <c r="H715" s="12">
        <f t="shared" si="30"/>
        <v>0</v>
      </c>
      <c r="I715" s="12">
        <f t="shared" si="31"/>
        <v>0</v>
      </c>
    </row>
    <row r="716" spans="1:9" x14ac:dyDescent="0.25">
      <c r="H716" s="12">
        <f t="shared" si="30"/>
        <v>0</v>
      </c>
      <c r="I716" s="12">
        <f t="shared" si="31"/>
        <v>0</v>
      </c>
    </row>
    <row r="717" spans="1:9" x14ac:dyDescent="0.25">
      <c r="A717" t="s">
        <v>1254</v>
      </c>
      <c r="B717" t="s">
        <v>103</v>
      </c>
      <c r="C717" t="s">
        <v>500</v>
      </c>
      <c r="D717" t="s">
        <v>1105</v>
      </c>
      <c r="E717">
        <v>-2</v>
      </c>
      <c r="G717" s="3">
        <v>1535.3</v>
      </c>
      <c r="H717" s="12">
        <f t="shared" si="30"/>
        <v>-3070.6</v>
      </c>
      <c r="I717" s="12">
        <f t="shared" si="31"/>
        <v>0</v>
      </c>
    </row>
    <row r="718" spans="1:9" x14ac:dyDescent="0.25">
      <c r="A718" t="s">
        <v>1255</v>
      </c>
      <c r="B718" t="s">
        <v>103</v>
      </c>
      <c r="C718" t="s">
        <v>500</v>
      </c>
      <c r="D718" t="s">
        <v>1105</v>
      </c>
      <c r="E718">
        <v>-2</v>
      </c>
      <c r="G718" s="3">
        <v>1804.75</v>
      </c>
      <c r="H718" s="12">
        <f t="shared" si="30"/>
        <v>-3609.5</v>
      </c>
      <c r="I718" s="12">
        <f t="shared" si="31"/>
        <v>0</v>
      </c>
    </row>
    <row r="719" spans="1:9" x14ac:dyDescent="0.25">
      <c r="A719" t="s">
        <v>1256</v>
      </c>
      <c r="B719" t="s">
        <v>103</v>
      </c>
      <c r="C719" t="s">
        <v>500</v>
      </c>
      <c r="D719" t="s">
        <v>1105</v>
      </c>
      <c r="E719">
        <v>-2</v>
      </c>
      <c r="G719" s="3">
        <v>1535.3</v>
      </c>
      <c r="H719" s="12">
        <f t="shared" si="30"/>
        <v>-3070.6</v>
      </c>
      <c r="I719" s="12">
        <f t="shared" si="31"/>
        <v>0</v>
      </c>
    </row>
    <row r="720" spans="1:9" x14ac:dyDescent="0.25">
      <c r="A720" s="6"/>
      <c r="C720" t="s">
        <v>504</v>
      </c>
      <c r="H720" s="12">
        <f t="shared" si="30"/>
        <v>0</v>
      </c>
      <c r="I720" s="12">
        <f t="shared" si="31"/>
        <v>0</v>
      </c>
    </row>
    <row r="721" spans="1:9" x14ac:dyDescent="0.25">
      <c r="A721" t="s">
        <v>1257</v>
      </c>
      <c r="B721" t="s">
        <v>103</v>
      </c>
      <c r="C721" t="s">
        <v>528</v>
      </c>
      <c r="D721" t="s">
        <v>1105</v>
      </c>
      <c r="E721">
        <v>125</v>
      </c>
      <c r="G721">
        <v>7.99</v>
      </c>
      <c r="H721" s="12">
        <f t="shared" si="30"/>
        <v>998.75</v>
      </c>
      <c r="I721" s="12">
        <f t="shared" si="31"/>
        <v>0</v>
      </c>
    </row>
    <row r="722" spans="1:9" x14ac:dyDescent="0.25">
      <c r="A722" s="5"/>
      <c r="C722" t="s">
        <v>552</v>
      </c>
      <c r="H722" s="12">
        <f t="shared" si="30"/>
        <v>0</v>
      </c>
      <c r="I722" s="12">
        <f t="shared" si="31"/>
        <v>0</v>
      </c>
    </row>
    <row r="723" spans="1:9" x14ac:dyDescent="0.25">
      <c r="A723" s="6"/>
      <c r="C723" t="s">
        <v>564</v>
      </c>
      <c r="H723" s="12">
        <f t="shared" si="30"/>
        <v>0</v>
      </c>
      <c r="I723" s="12">
        <f t="shared" si="31"/>
        <v>0</v>
      </c>
    </row>
    <row r="724" spans="1:9" x14ac:dyDescent="0.25">
      <c r="A724" t="s">
        <v>1258</v>
      </c>
      <c r="B724" t="s">
        <v>103</v>
      </c>
      <c r="C724" t="s">
        <v>1259</v>
      </c>
      <c r="D724" t="s">
        <v>1105</v>
      </c>
      <c r="E724">
        <v>14</v>
      </c>
      <c r="F724">
        <v>12</v>
      </c>
      <c r="G724">
        <v>245</v>
      </c>
      <c r="H724" s="12">
        <f t="shared" si="30"/>
        <v>3430</v>
      </c>
      <c r="I724" s="12">
        <f t="shared" si="31"/>
        <v>2940</v>
      </c>
    </row>
    <row r="725" spans="1:9" x14ac:dyDescent="0.25">
      <c r="A725" t="s">
        <v>1260</v>
      </c>
      <c r="B725" t="s">
        <v>103</v>
      </c>
      <c r="C725" t="s">
        <v>1261</v>
      </c>
      <c r="D725" t="s">
        <v>1105</v>
      </c>
      <c r="E725">
        <v>41</v>
      </c>
      <c r="G725">
        <v>32.729999999999997</v>
      </c>
      <c r="H725" s="12">
        <f t="shared" si="30"/>
        <v>1341.9299999999998</v>
      </c>
      <c r="I725" s="12">
        <f t="shared" si="31"/>
        <v>0</v>
      </c>
    </row>
    <row r="726" spans="1:9" x14ac:dyDescent="0.25">
      <c r="A726" t="s">
        <v>87</v>
      </c>
      <c r="B726" t="s">
        <v>103</v>
      </c>
      <c r="C726" t="s">
        <v>88</v>
      </c>
      <c r="D726" t="s">
        <v>1105</v>
      </c>
      <c r="E726">
        <v>12</v>
      </c>
      <c r="F726">
        <v>7</v>
      </c>
      <c r="G726">
        <v>32.729999999999997</v>
      </c>
      <c r="H726" s="12">
        <f t="shared" si="30"/>
        <v>392.76</v>
      </c>
      <c r="I726" s="12">
        <f t="shared" si="31"/>
        <v>229.10999999999999</v>
      </c>
    </row>
    <row r="727" spans="1:9" x14ac:dyDescent="0.25">
      <c r="A727" t="s">
        <v>90</v>
      </c>
      <c r="B727" t="s">
        <v>103</v>
      </c>
      <c r="C727" t="s">
        <v>89</v>
      </c>
      <c r="D727" t="s">
        <v>1105</v>
      </c>
      <c r="E727">
        <v>16</v>
      </c>
      <c r="F727">
        <v>3</v>
      </c>
      <c r="G727">
        <v>33.340000000000003</v>
      </c>
      <c r="H727" s="12">
        <f t="shared" si="30"/>
        <v>533.44000000000005</v>
      </c>
      <c r="I727" s="12">
        <f t="shared" si="31"/>
        <v>100.02000000000001</v>
      </c>
    </row>
    <row r="728" spans="1:9" x14ac:dyDescent="0.25">
      <c r="A728" t="s">
        <v>91</v>
      </c>
      <c r="B728" t="s">
        <v>103</v>
      </c>
      <c r="C728" t="s">
        <v>92</v>
      </c>
      <c r="D728" t="s">
        <v>1105</v>
      </c>
      <c r="E728">
        <v>60</v>
      </c>
      <c r="F728">
        <v>3</v>
      </c>
      <c r="G728">
        <v>13.51</v>
      </c>
      <c r="H728" s="12">
        <f t="shared" si="30"/>
        <v>810.6</v>
      </c>
      <c r="I728" s="12">
        <f t="shared" si="31"/>
        <v>40.53</v>
      </c>
    </row>
    <row r="729" spans="1:9" x14ac:dyDescent="0.25">
      <c r="H729" s="12">
        <f t="shared" si="30"/>
        <v>0</v>
      </c>
      <c r="I729" s="12">
        <f t="shared" si="31"/>
        <v>0</v>
      </c>
    </row>
    <row r="730" spans="1:9" x14ac:dyDescent="0.25">
      <c r="C730" t="s">
        <v>579</v>
      </c>
      <c r="H730" s="12">
        <f t="shared" si="30"/>
        <v>0</v>
      </c>
      <c r="I730" s="12">
        <f t="shared" si="31"/>
        <v>0</v>
      </c>
    </row>
    <row r="731" spans="1:9" x14ac:dyDescent="0.25">
      <c r="A731" s="5"/>
      <c r="C731" t="s">
        <v>654</v>
      </c>
      <c r="H731" s="12">
        <f t="shared" si="30"/>
        <v>0</v>
      </c>
      <c r="I731" s="12">
        <f t="shared" si="31"/>
        <v>0</v>
      </c>
    </row>
    <row r="732" spans="1:9" x14ac:dyDescent="0.25">
      <c r="A732" s="6"/>
      <c r="C732" t="s">
        <v>654</v>
      </c>
      <c r="H732" s="12">
        <f t="shared" si="30"/>
        <v>0</v>
      </c>
      <c r="I732" s="12">
        <f t="shared" si="31"/>
        <v>0</v>
      </c>
    </row>
    <row r="733" spans="1:9" x14ac:dyDescent="0.25">
      <c r="A733" t="s">
        <v>1262</v>
      </c>
      <c r="B733" t="s">
        <v>103</v>
      </c>
      <c r="C733" t="s">
        <v>1263</v>
      </c>
      <c r="D733" t="s">
        <v>1105</v>
      </c>
      <c r="E733">
        <v>1</v>
      </c>
      <c r="G733">
        <v>952.12</v>
      </c>
      <c r="H733" s="12">
        <f t="shared" si="30"/>
        <v>952.12</v>
      </c>
      <c r="I733" s="12">
        <f t="shared" si="31"/>
        <v>0</v>
      </c>
    </row>
    <row r="734" spans="1:9" x14ac:dyDescent="0.25">
      <c r="E734" s="3"/>
      <c r="H734" s="12">
        <f t="shared" si="30"/>
        <v>0</v>
      </c>
      <c r="I734" s="12">
        <f t="shared" si="31"/>
        <v>0</v>
      </c>
    </row>
    <row r="735" spans="1:9" x14ac:dyDescent="0.25">
      <c r="A735" t="s">
        <v>1264</v>
      </c>
      <c r="B735" t="s">
        <v>103</v>
      </c>
      <c r="C735" t="s">
        <v>1265</v>
      </c>
      <c r="D735" t="s">
        <v>1105</v>
      </c>
      <c r="E735">
        <v>1</v>
      </c>
      <c r="G735">
        <v>741</v>
      </c>
      <c r="H735" s="12">
        <f t="shared" si="30"/>
        <v>741</v>
      </c>
      <c r="I735" s="12">
        <f t="shared" si="31"/>
        <v>0</v>
      </c>
    </row>
    <row r="736" spans="1:9" x14ac:dyDescent="0.25">
      <c r="A736" t="s">
        <v>1266</v>
      </c>
      <c r="B736" t="s">
        <v>103</v>
      </c>
      <c r="C736" t="s">
        <v>1267</v>
      </c>
      <c r="D736" t="s">
        <v>1105</v>
      </c>
      <c r="E736">
        <v>1</v>
      </c>
      <c r="G736">
        <v>909.94</v>
      </c>
      <c r="H736" s="12">
        <f t="shared" si="30"/>
        <v>909.94</v>
      </c>
      <c r="I736" s="12">
        <f t="shared" si="31"/>
        <v>0</v>
      </c>
    </row>
    <row r="737" spans="1:9" x14ac:dyDescent="0.25">
      <c r="A737" t="s">
        <v>1268</v>
      </c>
      <c r="B737" t="s">
        <v>103</v>
      </c>
      <c r="C737" t="s">
        <v>1269</v>
      </c>
      <c r="D737" t="s">
        <v>1105</v>
      </c>
      <c r="E737">
        <v>5</v>
      </c>
      <c r="G737" s="3">
        <v>1049.3599999999999</v>
      </c>
      <c r="H737" s="12">
        <f t="shared" si="30"/>
        <v>5246.7999999999993</v>
      </c>
      <c r="I737" s="12">
        <f t="shared" si="31"/>
        <v>0</v>
      </c>
    </row>
    <row r="738" spans="1:9" x14ac:dyDescent="0.25">
      <c r="A738" t="s">
        <v>1270</v>
      </c>
      <c r="B738" t="s">
        <v>103</v>
      </c>
      <c r="C738" t="s">
        <v>1271</v>
      </c>
      <c r="D738" t="s">
        <v>1105</v>
      </c>
      <c r="E738">
        <v>1</v>
      </c>
      <c r="G738">
        <v>604.11</v>
      </c>
      <c r="H738" s="12">
        <f t="shared" si="30"/>
        <v>604.11</v>
      </c>
      <c r="I738" s="12">
        <f t="shared" si="31"/>
        <v>0</v>
      </c>
    </row>
    <row r="739" spans="1:9" x14ac:dyDescent="0.25">
      <c r="A739" t="s">
        <v>1272</v>
      </c>
      <c r="B739" t="s">
        <v>103</v>
      </c>
      <c r="C739" t="s">
        <v>1273</v>
      </c>
      <c r="D739" t="s">
        <v>1105</v>
      </c>
      <c r="E739">
        <v>1</v>
      </c>
      <c r="G739">
        <v>938.64</v>
      </c>
      <c r="H739" s="12">
        <f t="shared" si="30"/>
        <v>938.64</v>
      </c>
      <c r="I739" s="12">
        <f t="shared" si="31"/>
        <v>0</v>
      </c>
    </row>
    <row r="740" spans="1:9" x14ac:dyDescent="0.25">
      <c r="A740" t="s">
        <v>1274</v>
      </c>
      <c r="B740" t="s">
        <v>103</v>
      </c>
      <c r="C740" t="s">
        <v>1275</v>
      </c>
      <c r="D740" t="s">
        <v>1105</v>
      </c>
      <c r="E740">
        <v>1</v>
      </c>
      <c r="G740" s="3">
        <v>1931.16</v>
      </c>
      <c r="H740" s="12">
        <f t="shared" si="30"/>
        <v>1931.16</v>
      </c>
      <c r="I740" s="12">
        <f t="shared" si="31"/>
        <v>0</v>
      </c>
    </row>
    <row r="741" spans="1:9" x14ac:dyDescent="0.25">
      <c r="A741" t="s">
        <v>1276</v>
      </c>
      <c r="B741" t="s">
        <v>103</v>
      </c>
      <c r="C741" t="s">
        <v>1277</v>
      </c>
      <c r="D741" t="s">
        <v>1105</v>
      </c>
      <c r="E741">
        <v>2</v>
      </c>
      <c r="G741">
        <v>658.97</v>
      </c>
      <c r="H741" s="12">
        <f t="shared" si="30"/>
        <v>1317.94</v>
      </c>
      <c r="I741" s="12">
        <f t="shared" si="31"/>
        <v>0</v>
      </c>
    </row>
    <row r="742" spans="1:9" x14ac:dyDescent="0.25">
      <c r="A742" t="s">
        <v>1278</v>
      </c>
      <c r="B742" t="s">
        <v>103</v>
      </c>
      <c r="C742" t="s">
        <v>1279</v>
      </c>
      <c r="D742" t="s">
        <v>1105</v>
      </c>
      <c r="E742">
        <v>2</v>
      </c>
      <c r="G742">
        <v>338.65</v>
      </c>
      <c r="H742" s="12">
        <f t="shared" si="30"/>
        <v>677.3</v>
      </c>
      <c r="I742" s="12">
        <f t="shared" si="31"/>
        <v>0</v>
      </c>
    </row>
    <row r="743" spans="1:9" x14ac:dyDescent="0.25">
      <c r="A743" t="s">
        <v>1280</v>
      </c>
      <c r="B743" t="s">
        <v>103</v>
      </c>
      <c r="C743" t="s">
        <v>1281</v>
      </c>
      <c r="E743">
        <v>2</v>
      </c>
      <c r="G743">
        <v>122.7</v>
      </c>
      <c r="H743" s="12">
        <f t="shared" si="30"/>
        <v>245.4</v>
      </c>
      <c r="I743" s="12">
        <f t="shared" si="31"/>
        <v>0</v>
      </c>
    </row>
    <row r="744" spans="1:9" x14ac:dyDescent="0.25">
      <c r="H744" s="12">
        <f t="shared" si="30"/>
        <v>0</v>
      </c>
      <c r="I744" s="12">
        <f t="shared" si="31"/>
        <v>0</v>
      </c>
    </row>
    <row r="745" spans="1:9" x14ac:dyDescent="0.25">
      <c r="A745" t="s">
        <v>1282</v>
      </c>
      <c r="B745" t="s">
        <v>103</v>
      </c>
      <c r="C745" t="s">
        <v>1283</v>
      </c>
      <c r="D745" t="s">
        <v>1105</v>
      </c>
      <c r="E745">
        <v>90</v>
      </c>
      <c r="G745">
        <v>94.7</v>
      </c>
      <c r="H745" s="12">
        <f t="shared" ref="H745:H767" si="32">SUM(E745*G745)</f>
        <v>8523</v>
      </c>
      <c r="I745" s="12">
        <f t="shared" ref="I745:I767" si="33">G745*F745</f>
        <v>0</v>
      </c>
    </row>
    <row r="746" spans="1:9" x14ac:dyDescent="0.25">
      <c r="H746" s="12">
        <f t="shared" si="32"/>
        <v>0</v>
      </c>
      <c r="I746" s="12">
        <f t="shared" si="33"/>
        <v>0</v>
      </c>
    </row>
    <row r="747" spans="1:9" x14ac:dyDescent="0.25">
      <c r="H747" s="12">
        <f t="shared" si="32"/>
        <v>0</v>
      </c>
      <c r="I747" s="12">
        <f t="shared" si="33"/>
        <v>0</v>
      </c>
    </row>
    <row r="748" spans="1:9" x14ac:dyDescent="0.25">
      <c r="A748" s="5"/>
      <c r="C748" t="s">
        <v>790</v>
      </c>
      <c r="H748" s="12">
        <f t="shared" si="32"/>
        <v>0</v>
      </c>
      <c r="I748" s="12">
        <f t="shared" si="33"/>
        <v>0</v>
      </c>
    </row>
    <row r="749" spans="1:9" x14ac:dyDescent="0.25">
      <c r="A749" s="6"/>
      <c r="C749" t="s">
        <v>946</v>
      </c>
      <c r="H749" s="12">
        <f t="shared" si="32"/>
        <v>0</v>
      </c>
      <c r="I749" s="12">
        <f t="shared" si="33"/>
        <v>0</v>
      </c>
    </row>
    <row r="750" spans="1:9" x14ac:dyDescent="0.25">
      <c r="A750" t="s">
        <v>1284</v>
      </c>
      <c r="B750" t="s">
        <v>103</v>
      </c>
      <c r="C750" t="s">
        <v>1285</v>
      </c>
      <c r="D750" t="s">
        <v>1105</v>
      </c>
      <c r="E750">
        <v>568</v>
      </c>
      <c r="G750">
        <v>20.93</v>
      </c>
      <c r="H750" s="12">
        <f t="shared" si="32"/>
        <v>11888.24</v>
      </c>
      <c r="I750" s="12">
        <f t="shared" si="33"/>
        <v>0</v>
      </c>
    </row>
    <row r="751" spans="1:9" x14ac:dyDescent="0.25">
      <c r="A751" t="s">
        <v>1286</v>
      </c>
      <c r="B751" t="s">
        <v>103</v>
      </c>
      <c r="C751" t="s">
        <v>1287</v>
      </c>
      <c r="D751" t="s">
        <v>0</v>
      </c>
      <c r="E751">
        <v>50</v>
      </c>
      <c r="G751">
        <v>7.32</v>
      </c>
      <c r="H751" s="12">
        <f t="shared" si="32"/>
        <v>366</v>
      </c>
      <c r="I751" s="12">
        <f t="shared" si="33"/>
        <v>0</v>
      </c>
    </row>
    <row r="752" spans="1:9" x14ac:dyDescent="0.25">
      <c r="A752" t="s">
        <v>1288</v>
      </c>
      <c r="B752" t="s">
        <v>103</v>
      </c>
      <c r="C752" t="s">
        <v>1289</v>
      </c>
      <c r="D752" t="s">
        <v>0</v>
      </c>
      <c r="E752">
        <v>450</v>
      </c>
      <c r="G752">
        <v>5.37</v>
      </c>
      <c r="H752" s="12">
        <f t="shared" si="32"/>
        <v>2416.5</v>
      </c>
      <c r="I752" s="12">
        <f t="shared" si="33"/>
        <v>0</v>
      </c>
    </row>
    <row r="753" spans="1:9" x14ac:dyDescent="0.25">
      <c r="A753" t="s">
        <v>1290</v>
      </c>
      <c r="B753" t="s">
        <v>103</v>
      </c>
      <c r="C753" t="s">
        <v>1291</v>
      </c>
      <c r="D753" t="s">
        <v>0</v>
      </c>
      <c r="E753">
        <v>900</v>
      </c>
      <c r="G753">
        <v>5.37</v>
      </c>
      <c r="H753" s="12">
        <f t="shared" si="32"/>
        <v>4833</v>
      </c>
      <c r="I753" s="12">
        <f t="shared" si="33"/>
        <v>0</v>
      </c>
    </row>
    <row r="754" spans="1:9" x14ac:dyDescent="0.25">
      <c r="A754" t="s">
        <v>1292</v>
      </c>
      <c r="B754" t="s">
        <v>103</v>
      </c>
      <c r="C754" t="s">
        <v>1293</v>
      </c>
      <c r="D754" t="s">
        <v>0</v>
      </c>
      <c r="E754">
        <v>50</v>
      </c>
      <c r="G754">
        <v>5.37</v>
      </c>
      <c r="H754" s="12">
        <f t="shared" si="32"/>
        <v>268.5</v>
      </c>
      <c r="I754" s="12">
        <f t="shared" si="33"/>
        <v>0</v>
      </c>
    </row>
    <row r="755" spans="1:9" x14ac:dyDescent="0.25">
      <c r="A755" t="s">
        <v>1294</v>
      </c>
      <c r="B755" t="s">
        <v>103</v>
      </c>
      <c r="C755" t="s">
        <v>1295</v>
      </c>
      <c r="D755" t="s">
        <v>0</v>
      </c>
      <c r="E755">
        <v>800</v>
      </c>
      <c r="G755">
        <v>5.37</v>
      </c>
      <c r="H755" s="12">
        <f t="shared" si="32"/>
        <v>4296</v>
      </c>
      <c r="I755" s="12">
        <f t="shared" si="33"/>
        <v>0</v>
      </c>
    </row>
    <row r="756" spans="1:9" x14ac:dyDescent="0.25">
      <c r="A756" t="s">
        <v>1296</v>
      </c>
      <c r="B756" t="s">
        <v>103</v>
      </c>
      <c r="C756" t="s">
        <v>1297</v>
      </c>
      <c r="D756" t="s">
        <v>0</v>
      </c>
      <c r="E756">
        <v>10</v>
      </c>
      <c r="G756">
        <v>6.35</v>
      </c>
      <c r="H756" s="12">
        <f t="shared" si="32"/>
        <v>63.5</v>
      </c>
      <c r="I756" s="12">
        <f t="shared" si="33"/>
        <v>0</v>
      </c>
    </row>
    <row r="757" spans="1:9" x14ac:dyDescent="0.25">
      <c r="A757" t="s">
        <v>1298</v>
      </c>
      <c r="B757" t="s">
        <v>103</v>
      </c>
      <c r="C757" t="s">
        <v>1299</v>
      </c>
      <c r="D757" t="s">
        <v>0</v>
      </c>
      <c r="E757">
        <v>30</v>
      </c>
      <c r="G757">
        <v>4.4000000000000004</v>
      </c>
      <c r="H757" s="12">
        <f t="shared" si="32"/>
        <v>132</v>
      </c>
      <c r="I757" s="12">
        <f t="shared" si="33"/>
        <v>0</v>
      </c>
    </row>
    <row r="758" spans="1:9" x14ac:dyDescent="0.25">
      <c r="A758" t="s">
        <v>1300</v>
      </c>
      <c r="B758" t="s">
        <v>103</v>
      </c>
      <c r="C758" t="s">
        <v>1301</v>
      </c>
      <c r="D758" t="s">
        <v>0</v>
      </c>
      <c r="E758">
        <v>200</v>
      </c>
      <c r="G758">
        <v>4.4000000000000004</v>
      </c>
      <c r="H758" s="12">
        <f t="shared" si="32"/>
        <v>880.00000000000011</v>
      </c>
      <c r="I758" s="12">
        <f t="shared" si="33"/>
        <v>0</v>
      </c>
    </row>
    <row r="759" spans="1:9" x14ac:dyDescent="0.25">
      <c r="A759" t="s">
        <v>1302</v>
      </c>
      <c r="B759" t="s">
        <v>103</v>
      </c>
      <c r="C759" t="s">
        <v>1303</v>
      </c>
      <c r="D759" t="s">
        <v>0</v>
      </c>
      <c r="E759">
        <v>20</v>
      </c>
      <c r="G759">
        <v>4.4000000000000004</v>
      </c>
      <c r="H759" s="12">
        <f t="shared" si="32"/>
        <v>88</v>
      </c>
      <c r="I759" s="12">
        <f t="shared" si="33"/>
        <v>0</v>
      </c>
    </row>
    <row r="760" spans="1:9" x14ac:dyDescent="0.25">
      <c r="A760" t="s">
        <v>1304</v>
      </c>
      <c r="B760" t="s">
        <v>103</v>
      </c>
      <c r="C760" t="s">
        <v>1305</v>
      </c>
      <c r="D760" t="s">
        <v>0</v>
      </c>
      <c r="E760">
        <v>100</v>
      </c>
      <c r="G760">
        <v>4.4000000000000004</v>
      </c>
      <c r="H760" s="12">
        <f t="shared" si="32"/>
        <v>440.00000000000006</v>
      </c>
      <c r="I760" s="12">
        <f t="shared" si="33"/>
        <v>0</v>
      </c>
    </row>
    <row r="761" spans="1:9" x14ac:dyDescent="0.25">
      <c r="C761" t="s">
        <v>982</v>
      </c>
      <c r="H761" s="12">
        <f t="shared" si="32"/>
        <v>0</v>
      </c>
      <c r="I761" s="12">
        <f t="shared" si="33"/>
        <v>0</v>
      </c>
    </row>
    <row r="762" spans="1:9" x14ac:dyDescent="0.25">
      <c r="A762" s="5"/>
      <c r="C762" t="s">
        <v>984</v>
      </c>
      <c r="H762" s="12">
        <f t="shared" si="32"/>
        <v>0</v>
      </c>
      <c r="I762" s="12">
        <f t="shared" si="33"/>
        <v>0</v>
      </c>
    </row>
    <row r="763" spans="1:9" x14ac:dyDescent="0.25">
      <c r="A763" s="6"/>
      <c r="C763" t="s">
        <v>984</v>
      </c>
      <c r="H763" s="12">
        <f t="shared" si="32"/>
        <v>0</v>
      </c>
      <c r="I763" s="12">
        <f t="shared" si="33"/>
        <v>0</v>
      </c>
    </row>
    <row r="764" spans="1:9" x14ac:dyDescent="0.25">
      <c r="A764" t="s">
        <v>1306</v>
      </c>
      <c r="B764" t="s">
        <v>103</v>
      </c>
      <c r="C764" t="s">
        <v>1307</v>
      </c>
      <c r="D764" t="s">
        <v>1105</v>
      </c>
      <c r="E764">
        <v>150</v>
      </c>
      <c r="G764">
        <v>120.23</v>
      </c>
      <c r="H764" s="12">
        <f t="shared" si="32"/>
        <v>18034.5</v>
      </c>
      <c r="I764" s="12">
        <f t="shared" si="33"/>
        <v>0</v>
      </c>
    </row>
    <row r="765" spans="1:9" x14ac:dyDescent="0.25">
      <c r="C765" t="s">
        <v>1308</v>
      </c>
      <c r="H765" s="12">
        <f t="shared" si="32"/>
        <v>0</v>
      </c>
      <c r="I765" s="12">
        <f t="shared" si="33"/>
        <v>0</v>
      </c>
    </row>
    <row r="766" spans="1:9" x14ac:dyDescent="0.25">
      <c r="A766" t="s">
        <v>1309</v>
      </c>
      <c r="B766" t="s">
        <v>103</v>
      </c>
      <c r="C766" t="s">
        <v>1310</v>
      </c>
      <c r="D766" t="s">
        <v>6</v>
      </c>
      <c r="F766">
        <v>1</v>
      </c>
      <c r="G766">
        <v>67.5</v>
      </c>
      <c r="H766" s="12">
        <f t="shared" si="32"/>
        <v>0</v>
      </c>
      <c r="I766" s="12">
        <f t="shared" si="33"/>
        <v>67.5</v>
      </c>
    </row>
    <row r="767" spans="1:9" x14ac:dyDescent="0.25">
      <c r="A767" t="s">
        <v>1311</v>
      </c>
      <c r="B767" t="s">
        <v>103</v>
      </c>
      <c r="C767" t="s">
        <v>1312</v>
      </c>
      <c r="D767" t="s">
        <v>6</v>
      </c>
      <c r="F767">
        <v>22</v>
      </c>
      <c r="G767">
        <v>34.700000000000003</v>
      </c>
      <c r="H767" s="12">
        <f t="shared" si="32"/>
        <v>0</v>
      </c>
      <c r="I767" s="12">
        <f t="shared" si="33"/>
        <v>763.40000000000009</v>
      </c>
    </row>
  </sheetData>
  <autoFilter ref="A1:I767" xr:uid="{A845C2B8-B843-4C37-92BE-F81CC6024D74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63AE-3E7E-447C-BD66-797CAEA851EF}">
  <sheetPr codeName="Tabelle3"/>
  <dimension ref="A1:J1047361"/>
  <sheetViews>
    <sheetView zoomScaleNormal="100" workbookViewId="0">
      <pane ySplit="35" topLeftCell="A36" activePane="bottomLeft" state="frozen"/>
      <selection pane="bottomLeft" activeCell="I43" sqref="I43"/>
    </sheetView>
  </sheetViews>
  <sheetFormatPr baseColWidth="10" defaultRowHeight="15" x14ac:dyDescent="0.25"/>
  <cols>
    <col min="1" max="1" width="17" style="1" customWidth="1"/>
    <col min="2" max="2" width="18.85546875" customWidth="1"/>
    <col min="3" max="3" width="28.28515625" customWidth="1"/>
    <col min="4" max="4" width="21.42578125" customWidth="1"/>
    <col min="5" max="5" width="18.140625" customWidth="1"/>
    <col min="6" max="6" width="17.5703125" customWidth="1"/>
    <col min="7" max="7" width="13.5703125" customWidth="1"/>
    <col min="8" max="8" width="17.7109375" style="12" customWidth="1"/>
    <col min="9" max="9" width="22" customWidth="1"/>
    <col min="10" max="10" width="8" customWidth="1"/>
  </cols>
  <sheetData>
    <row r="1" spans="1:10" x14ac:dyDescent="0.25">
      <c r="A1" s="15" t="s">
        <v>1313</v>
      </c>
      <c r="B1" s="7" t="s">
        <v>1314</v>
      </c>
      <c r="C1" s="7" t="s">
        <v>1315</v>
      </c>
      <c r="D1" s="15" t="s">
        <v>1316</v>
      </c>
      <c r="E1" s="15" t="s">
        <v>1317</v>
      </c>
      <c r="F1" s="15" t="s">
        <v>1318</v>
      </c>
      <c r="G1" s="15" t="s">
        <v>1319</v>
      </c>
      <c r="H1" s="16" t="s">
        <v>1320</v>
      </c>
    </row>
    <row r="2" spans="1:10" x14ac:dyDescent="0.25">
      <c r="A2" s="17"/>
      <c r="B2" s="2"/>
      <c r="C2" s="2"/>
      <c r="D2" s="17"/>
      <c r="E2" s="17"/>
      <c r="F2" s="17"/>
      <c r="G2" s="17"/>
      <c r="H2" s="18"/>
    </row>
    <row r="3" spans="1:10" ht="15.75" x14ac:dyDescent="0.25">
      <c r="C3" s="20" t="s">
        <v>1332</v>
      </c>
      <c r="E3" s="21" t="s">
        <v>1330</v>
      </c>
      <c r="F3" s="21" t="s">
        <v>1331</v>
      </c>
      <c r="I3" s="19" t="s">
        <v>1334</v>
      </c>
      <c r="J3" s="19" t="s">
        <v>1333</v>
      </c>
    </row>
    <row r="4" spans="1:10" ht="15" customHeight="1" x14ac:dyDescent="0.25">
      <c r="A4" s="66" t="s">
        <v>1336</v>
      </c>
      <c r="B4" s="66"/>
      <c r="C4" s="25" t="s">
        <v>1321</v>
      </c>
      <c r="D4" s="25" t="s">
        <v>0</v>
      </c>
      <c r="E4" s="25">
        <v>1000</v>
      </c>
      <c r="F4" s="25">
        <v>350</v>
      </c>
      <c r="G4" s="26">
        <v>3.72</v>
      </c>
      <c r="H4" s="26">
        <f>G4*F4</f>
        <v>1302</v>
      </c>
      <c r="I4" s="26">
        <f>SUM(H4*J4)</f>
        <v>1692.6000000000001</v>
      </c>
      <c r="J4" s="25">
        <v>1.3</v>
      </c>
    </row>
    <row r="5" spans="1:10" ht="15" customHeight="1" x14ac:dyDescent="0.25">
      <c r="A5" s="66"/>
      <c r="B5" s="66"/>
      <c r="C5" t="s">
        <v>1322</v>
      </c>
      <c r="D5" t="s">
        <v>0</v>
      </c>
      <c r="E5">
        <v>3000</v>
      </c>
      <c r="F5">
        <v>2000</v>
      </c>
      <c r="G5" s="12">
        <v>4.17</v>
      </c>
      <c r="H5" s="12">
        <f t="shared" ref="H5:H29" si="0">G5*F5</f>
        <v>8340</v>
      </c>
      <c r="I5" s="12">
        <f t="shared" ref="I5:I29" si="1">SUM(H5*J5)</f>
        <v>10842</v>
      </c>
      <c r="J5">
        <v>1.3</v>
      </c>
    </row>
    <row r="6" spans="1:10" ht="15" customHeight="1" x14ac:dyDescent="0.25">
      <c r="A6" s="66"/>
      <c r="B6" s="66"/>
      <c r="C6" s="25" t="s">
        <v>1323</v>
      </c>
      <c r="D6" s="25" t="s">
        <v>0</v>
      </c>
      <c r="E6" s="25">
        <v>1500</v>
      </c>
      <c r="F6" s="25">
        <v>1500</v>
      </c>
      <c r="G6" s="26">
        <v>4.1900000000000004</v>
      </c>
      <c r="H6" s="26">
        <f t="shared" si="0"/>
        <v>6285.0000000000009</v>
      </c>
      <c r="I6" s="26">
        <f t="shared" si="1"/>
        <v>8170.5000000000018</v>
      </c>
      <c r="J6" s="25">
        <v>1.3</v>
      </c>
    </row>
    <row r="7" spans="1:10" ht="15" customHeight="1" x14ac:dyDescent="0.25">
      <c r="A7" s="66"/>
      <c r="B7" s="66"/>
      <c r="C7" t="s">
        <v>1324</v>
      </c>
      <c r="D7" t="s">
        <v>0</v>
      </c>
      <c r="E7">
        <v>15</v>
      </c>
      <c r="F7">
        <v>0</v>
      </c>
      <c r="G7" s="12">
        <v>11.67</v>
      </c>
      <c r="H7" s="12">
        <f t="shared" si="0"/>
        <v>0</v>
      </c>
      <c r="I7" s="12">
        <f t="shared" si="1"/>
        <v>0</v>
      </c>
      <c r="J7">
        <v>1.3</v>
      </c>
    </row>
    <row r="8" spans="1:10" ht="15" customHeight="1" x14ac:dyDescent="0.25">
      <c r="A8" s="66"/>
      <c r="B8" s="66"/>
      <c r="C8" s="25" t="s">
        <v>1329</v>
      </c>
      <c r="D8" s="25" t="s">
        <v>0</v>
      </c>
      <c r="E8" s="25">
        <v>100</v>
      </c>
      <c r="F8" s="25">
        <v>100</v>
      </c>
      <c r="G8" s="26">
        <v>3.39</v>
      </c>
      <c r="H8" s="26">
        <f t="shared" si="0"/>
        <v>339</v>
      </c>
      <c r="I8" s="26">
        <f t="shared" si="1"/>
        <v>440.7</v>
      </c>
      <c r="J8" s="25">
        <v>1.3</v>
      </c>
    </row>
    <row r="9" spans="1:10" ht="15" customHeight="1" x14ac:dyDescent="0.25">
      <c r="A9" s="66"/>
      <c r="B9" s="66"/>
      <c r="C9" t="s">
        <v>1325</v>
      </c>
      <c r="D9" t="s">
        <v>0</v>
      </c>
      <c r="E9">
        <v>1000</v>
      </c>
      <c r="F9">
        <v>1000</v>
      </c>
      <c r="G9" s="12">
        <v>3.1</v>
      </c>
      <c r="H9" s="12">
        <f t="shared" si="0"/>
        <v>3100</v>
      </c>
      <c r="I9" s="12">
        <f t="shared" si="1"/>
        <v>4030</v>
      </c>
      <c r="J9">
        <v>1.3</v>
      </c>
    </row>
    <row r="10" spans="1:10" ht="15" customHeight="1" x14ac:dyDescent="0.25">
      <c r="A10" s="66"/>
      <c r="B10" s="66"/>
      <c r="C10" s="25" t="s">
        <v>1326</v>
      </c>
      <c r="D10" s="25" t="s">
        <v>0</v>
      </c>
      <c r="E10" s="25">
        <v>500</v>
      </c>
      <c r="F10" s="25">
        <v>500</v>
      </c>
      <c r="G10" s="26">
        <v>4.4000000000000004</v>
      </c>
      <c r="H10" s="26">
        <f t="shared" si="0"/>
        <v>2200</v>
      </c>
      <c r="I10" s="26">
        <f t="shared" si="1"/>
        <v>2860</v>
      </c>
      <c r="J10" s="25">
        <v>1.3</v>
      </c>
    </row>
    <row r="11" spans="1:10" ht="15" customHeight="1" x14ac:dyDescent="0.25">
      <c r="A11" s="66"/>
      <c r="B11" s="66"/>
      <c r="C11" t="s">
        <v>1327</v>
      </c>
      <c r="D11" t="s">
        <v>0</v>
      </c>
      <c r="E11">
        <v>500</v>
      </c>
      <c r="F11">
        <v>500</v>
      </c>
      <c r="G11" s="12">
        <v>3.78</v>
      </c>
      <c r="H11" s="12">
        <f t="shared" si="0"/>
        <v>1890</v>
      </c>
      <c r="I11" s="12">
        <f t="shared" si="1"/>
        <v>2457</v>
      </c>
      <c r="J11">
        <v>1.3</v>
      </c>
    </row>
    <row r="12" spans="1:10" ht="15" customHeight="1" x14ac:dyDescent="0.25">
      <c r="A12" s="66"/>
      <c r="B12" s="66"/>
      <c r="C12" s="25" t="s">
        <v>1328</v>
      </c>
      <c r="D12" s="25" t="s">
        <v>0</v>
      </c>
      <c r="E12" s="25">
        <v>0</v>
      </c>
      <c r="F12" s="25">
        <v>0</v>
      </c>
      <c r="G12" s="26">
        <v>4</v>
      </c>
      <c r="H12" s="26">
        <f t="shared" si="0"/>
        <v>0</v>
      </c>
      <c r="I12" s="26">
        <f t="shared" si="1"/>
        <v>0</v>
      </c>
      <c r="J12" s="25">
        <v>1.3</v>
      </c>
    </row>
    <row r="13" spans="1:10" x14ac:dyDescent="0.25">
      <c r="A13" s="66"/>
      <c r="B13" s="66"/>
      <c r="C13" t="s">
        <v>1335</v>
      </c>
      <c r="D13" t="s">
        <v>0</v>
      </c>
      <c r="E13">
        <v>2000</v>
      </c>
      <c r="F13">
        <v>2000</v>
      </c>
      <c r="G13" s="12">
        <v>5.37</v>
      </c>
      <c r="H13" s="12">
        <f t="shared" si="0"/>
        <v>10740</v>
      </c>
      <c r="I13" s="12">
        <f t="shared" si="1"/>
        <v>13962</v>
      </c>
      <c r="J13">
        <v>1.3</v>
      </c>
    </row>
    <row r="14" spans="1:10" ht="15" customHeight="1" x14ac:dyDescent="0.25">
      <c r="A14" s="52"/>
      <c r="B14" s="52"/>
      <c r="C14" s="25" t="s">
        <v>1374</v>
      </c>
      <c r="D14" s="25" t="s">
        <v>0</v>
      </c>
      <c r="E14" s="25">
        <v>0</v>
      </c>
      <c r="F14" s="25">
        <v>0</v>
      </c>
      <c r="G14" s="26">
        <v>148.46</v>
      </c>
      <c r="H14" s="26">
        <f t="shared" si="0"/>
        <v>0</v>
      </c>
      <c r="I14" s="26">
        <f t="shared" si="1"/>
        <v>0</v>
      </c>
      <c r="J14" s="25">
        <v>1.3</v>
      </c>
    </row>
    <row r="15" spans="1:10" ht="15" customHeight="1" x14ac:dyDescent="0.25">
      <c r="A15" s="52"/>
      <c r="B15" s="52"/>
      <c r="C15" t="s">
        <v>1375</v>
      </c>
      <c r="D15" t="s">
        <v>0</v>
      </c>
      <c r="E15">
        <v>0</v>
      </c>
      <c r="F15">
        <v>0</v>
      </c>
      <c r="G15" s="12">
        <v>56.54</v>
      </c>
      <c r="H15" s="12">
        <f t="shared" si="0"/>
        <v>0</v>
      </c>
      <c r="I15" s="12">
        <f t="shared" si="1"/>
        <v>0</v>
      </c>
      <c r="J15">
        <v>1.3</v>
      </c>
    </row>
    <row r="16" spans="1:10" ht="15" customHeight="1" x14ac:dyDescent="0.25">
      <c r="A16" s="52"/>
      <c r="B16" s="52"/>
      <c r="C16" s="25" t="s">
        <v>1376</v>
      </c>
      <c r="D16" s="25" t="s">
        <v>0</v>
      </c>
      <c r="E16" s="25">
        <v>0</v>
      </c>
      <c r="F16" s="25">
        <v>0</v>
      </c>
      <c r="G16" s="26">
        <v>40.97</v>
      </c>
      <c r="H16" s="26">
        <f t="shared" si="0"/>
        <v>0</v>
      </c>
      <c r="I16" s="26">
        <f t="shared" si="1"/>
        <v>0</v>
      </c>
      <c r="J16" s="25">
        <v>1.3</v>
      </c>
    </row>
    <row r="17" spans="1:10" ht="15" customHeight="1" x14ac:dyDescent="0.25">
      <c r="A17" s="52"/>
      <c r="B17" s="52"/>
      <c r="C17" t="s">
        <v>1522</v>
      </c>
      <c r="D17" t="s">
        <v>0</v>
      </c>
      <c r="E17">
        <v>950</v>
      </c>
      <c r="F17">
        <v>950</v>
      </c>
      <c r="G17" s="12">
        <v>5.75</v>
      </c>
      <c r="H17" s="12">
        <f t="shared" si="0"/>
        <v>5462.5</v>
      </c>
      <c r="I17" s="12">
        <f t="shared" si="1"/>
        <v>7101.25</v>
      </c>
      <c r="J17">
        <v>1.3</v>
      </c>
    </row>
    <row r="18" spans="1:10" ht="15" customHeight="1" x14ac:dyDescent="0.25">
      <c r="A18" s="52"/>
      <c r="B18" s="52"/>
      <c r="C18" s="25" t="s">
        <v>1356</v>
      </c>
      <c r="D18" s="25" t="s">
        <v>0</v>
      </c>
      <c r="E18" s="25">
        <v>500</v>
      </c>
      <c r="F18" s="25">
        <v>500</v>
      </c>
      <c r="G18" s="26">
        <v>5</v>
      </c>
      <c r="H18" s="26">
        <f t="shared" si="0"/>
        <v>2500</v>
      </c>
      <c r="I18" s="26">
        <f t="shared" si="1"/>
        <v>3250</v>
      </c>
      <c r="J18" s="25">
        <v>1.3</v>
      </c>
    </row>
    <row r="19" spans="1:10" ht="15" customHeight="1" x14ac:dyDescent="0.25">
      <c r="A19" s="52"/>
      <c r="B19" s="52"/>
      <c r="C19" t="s">
        <v>1523</v>
      </c>
      <c r="D19" t="s">
        <v>0</v>
      </c>
      <c r="E19">
        <v>0</v>
      </c>
      <c r="F19">
        <v>0</v>
      </c>
      <c r="G19" s="12">
        <v>3.62</v>
      </c>
      <c r="H19" s="12">
        <f t="shared" si="0"/>
        <v>0</v>
      </c>
      <c r="I19" s="12">
        <f t="shared" si="1"/>
        <v>0</v>
      </c>
      <c r="J19">
        <v>1.3</v>
      </c>
    </row>
    <row r="20" spans="1:10" ht="15" customHeight="1" x14ac:dyDescent="0.25">
      <c r="A20" s="52"/>
      <c r="B20" s="52"/>
      <c r="C20" s="25" t="s">
        <v>1525</v>
      </c>
      <c r="D20" s="25" t="s">
        <v>0</v>
      </c>
      <c r="E20" s="25">
        <v>210</v>
      </c>
      <c r="F20" s="25">
        <v>0</v>
      </c>
      <c r="G20" s="26">
        <v>6.66</v>
      </c>
      <c r="H20" s="26">
        <f t="shared" ref="H20:H21" si="2">G20*F20</f>
        <v>0</v>
      </c>
      <c r="I20" s="26">
        <f t="shared" ref="I20:I21" si="3">SUM(H20*J20)</f>
        <v>0</v>
      </c>
      <c r="J20" s="25">
        <v>1.3</v>
      </c>
    </row>
    <row r="21" spans="1:10" ht="15" customHeight="1" x14ac:dyDescent="0.25">
      <c r="A21" s="52"/>
      <c r="B21" s="52"/>
      <c r="C21" t="s">
        <v>1526</v>
      </c>
      <c r="D21" t="s">
        <v>0</v>
      </c>
      <c r="E21">
        <v>0</v>
      </c>
      <c r="F21">
        <v>0</v>
      </c>
      <c r="G21" s="12"/>
      <c r="H21" s="12">
        <f t="shared" si="2"/>
        <v>0</v>
      </c>
      <c r="I21" s="12">
        <f t="shared" si="3"/>
        <v>0</v>
      </c>
      <c r="J21">
        <v>1.3</v>
      </c>
    </row>
    <row r="22" spans="1:10" ht="15" customHeight="1" x14ac:dyDescent="0.25">
      <c r="A22" s="52"/>
      <c r="B22" s="52"/>
      <c r="C22" s="25" t="s">
        <v>1527</v>
      </c>
      <c r="D22" s="25" t="s">
        <v>0</v>
      </c>
      <c r="E22" s="25">
        <v>500</v>
      </c>
      <c r="F22" s="25">
        <v>500</v>
      </c>
      <c r="G22" s="26">
        <v>6.66</v>
      </c>
      <c r="H22" s="26">
        <f t="shared" ref="H22:H25" si="4">G22*F22</f>
        <v>3330</v>
      </c>
      <c r="I22" s="26">
        <f t="shared" ref="I22:I25" si="5">SUM(H22*J22)</f>
        <v>4329</v>
      </c>
      <c r="J22" s="25">
        <v>1.3</v>
      </c>
    </row>
    <row r="23" spans="1:10" ht="15" customHeight="1" x14ac:dyDescent="0.25">
      <c r="A23" s="52"/>
      <c r="B23" s="52"/>
      <c r="C23" t="s">
        <v>1530</v>
      </c>
      <c r="D23" t="s">
        <v>1537</v>
      </c>
      <c r="E23">
        <v>50</v>
      </c>
      <c r="F23">
        <v>50</v>
      </c>
      <c r="G23" s="12">
        <v>31.53</v>
      </c>
      <c r="H23" s="12">
        <f t="shared" si="4"/>
        <v>1576.5</v>
      </c>
      <c r="I23" s="12">
        <f t="shared" si="5"/>
        <v>2049.4500000000003</v>
      </c>
      <c r="J23">
        <v>1.3</v>
      </c>
    </row>
    <row r="24" spans="1:10" ht="15" customHeight="1" x14ac:dyDescent="0.25">
      <c r="A24" s="52"/>
      <c r="B24" s="52"/>
      <c r="C24" s="25" t="s">
        <v>1538</v>
      </c>
      <c r="D24" s="25" t="s">
        <v>0</v>
      </c>
      <c r="E24" s="25">
        <v>100</v>
      </c>
      <c r="F24" s="25">
        <v>100</v>
      </c>
      <c r="G24" s="26">
        <v>4.96</v>
      </c>
      <c r="H24" s="26">
        <f t="shared" si="4"/>
        <v>496</v>
      </c>
      <c r="I24" s="26">
        <f t="shared" si="5"/>
        <v>644.80000000000007</v>
      </c>
      <c r="J24" s="25">
        <v>1.3</v>
      </c>
    </row>
    <row r="25" spans="1:10" ht="15" customHeight="1" x14ac:dyDescent="0.25">
      <c r="A25" s="52"/>
      <c r="B25" s="52"/>
      <c r="C25" t="s">
        <v>1546</v>
      </c>
      <c r="D25" t="s">
        <v>1537</v>
      </c>
      <c r="E25">
        <v>100</v>
      </c>
      <c r="F25">
        <v>100</v>
      </c>
      <c r="G25" s="12">
        <v>10.83</v>
      </c>
      <c r="H25" s="12">
        <f t="shared" si="4"/>
        <v>1083</v>
      </c>
      <c r="I25" s="12">
        <f t="shared" si="5"/>
        <v>1407.9</v>
      </c>
      <c r="J25">
        <v>1.3</v>
      </c>
    </row>
    <row r="26" spans="1:10" ht="15" customHeight="1" x14ac:dyDescent="0.25">
      <c r="A26" s="52"/>
      <c r="B26" s="52"/>
      <c r="C26" s="25"/>
      <c r="D26" s="25"/>
      <c r="E26" s="25"/>
      <c r="F26" s="25"/>
      <c r="G26" s="26"/>
      <c r="H26" s="26">
        <f t="shared" si="0"/>
        <v>0</v>
      </c>
      <c r="I26" s="26">
        <f t="shared" si="1"/>
        <v>0</v>
      </c>
      <c r="J26" s="25">
        <v>1.3</v>
      </c>
    </row>
    <row r="27" spans="1:10" ht="15" customHeight="1" x14ac:dyDescent="0.25">
      <c r="A27" s="52"/>
      <c r="B27" s="52"/>
      <c r="G27" s="12"/>
      <c r="H27" s="12">
        <f t="shared" si="0"/>
        <v>0</v>
      </c>
      <c r="I27" s="12">
        <f t="shared" si="1"/>
        <v>0</v>
      </c>
      <c r="J27">
        <v>1.3</v>
      </c>
    </row>
    <row r="28" spans="1:10" ht="15" customHeight="1" x14ac:dyDescent="0.25">
      <c r="A28" s="52"/>
      <c r="B28" s="52"/>
      <c r="C28" s="25"/>
      <c r="D28" s="25"/>
      <c r="E28" s="25"/>
      <c r="F28" s="25"/>
      <c r="G28" s="26"/>
      <c r="H28" s="26">
        <f t="shared" ref="H28" si="6">G28*F28</f>
        <v>0</v>
      </c>
      <c r="I28" s="26">
        <f t="shared" ref="I28" si="7">SUM(H28*J28)</f>
        <v>0</v>
      </c>
      <c r="J28" s="25">
        <v>1.3</v>
      </c>
    </row>
    <row r="29" spans="1:10" ht="15" customHeight="1" x14ac:dyDescent="0.25">
      <c r="A29" s="52"/>
      <c r="B29" s="52"/>
      <c r="G29" s="12"/>
      <c r="H29" s="12">
        <f t="shared" si="0"/>
        <v>0</v>
      </c>
      <c r="I29" s="12">
        <f t="shared" si="1"/>
        <v>0</v>
      </c>
      <c r="J29">
        <v>1.3</v>
      </c>
    </row>
    <row r="30" spans="1:10" x14ac:dyDescent="0.25">
      <c r="A30"/>
      <c r="I30" s="12"/>
    </row>
    <row r="31" spans="1:10" x14ac:dyDescent="0.25">
      <c r="A31"/>
      <c r="I31" s="12"/>
    </row>
    <row r="32" spans="1:10" x14ac:dyDescent="0.25">
      <c r="A32"/>
      <c r="I32" s="12"/>
    </row>
    <row r="33" spans="1:10" x14ac:dyDescent="0.25">
      <c r="G33" s="12"/>
      <c r="I33" s="12"/>
    </row>
    <row r="34" spans="1:10" ht="18.75" x14ac:dyDescent="0.3">
      <c r="H34" s="27">
        <f>SUM(H4:H33)</f>
        <v>48644</v>
      </c>
      <c r="I34" s="27">
        <f>SUM(I4:I33)</f>
        <v>63237.200000000004</v>
      </c>
    </row>
    <row r="35" spans="1:10" x14ac:dyDescent="0.25">
      <c r="A35" s="24"/>
      <c r="B35" s="22"/>
      <c r="C35" s="22"/>
      <c r="D35" s="22"/>
      <c r="E35" s="22"/>
      <c r="F35" s="22"/>
      <c r="G35" s="22"/>
      <c r="H35" s="23"/>
      <c r="I35" s="23"/>
      <c r="J35" s="22"/>
    </row>
    <row r="37" spans="1:10" ht="30" customHeight="1" x14ac:dyDescent="0.25">
      <c r="E37" s="67" t="s">
        <v>1529</v>
      </c>
      <c r="F37" s="67"/>
      <c r="G37" s="50"/>
      <c r="H37" s="51">
        <f>SUM('TR.3 Kabel 1.OG Teil 1'!A8+'TR.3 1.OG Kabel Teil 2'!A8)</f>
        <v>0</v>
      </c>
    </row>
    <row r="38" spans="1:10" ht="15" customHeight="1" x14ac:dyDescent="0.25">
      <c r="F38" s="50"/>
      <c r="G38" s="50"/>
    </row>
    <row r="1047361" spans="1:1" x14ac:dyDescent="0.25">
      <c r="A1047361" s="15"/>
    </row>
  </sheetData>
  <mergeCells count="2">
    <mergeCell ref="A4:B13"/>
    <mergeCell ref="E37:F3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0E09-5D5A-4CDE-A3B1-7D2E7316AB16}">
  <sheetPr codeName="Tabelle4"/>
  <dimension ref="A1:BA144"/>
  <sheetViews>
    <sheetView tabSelected="1" zoomScaleNormal="100" workbookViewId="0">
      <pane xSplit="1" ySplit="13" topLeftCell="T14" activePane="bottomRight" state="frozen"/>
      <selection pane="topRight" activeCell="B1" sqref="B1"/>
      <selection pane="bottomLeft" activeCell="A14" sqref="A14"/>
      <selection pane="bottomRight" activeCell="Y23" sqref="Y23"/>
    </sheetView>
  </sheetViews>
  <sheetFormatPr baseColWidth="10" defaultRowHeight="15" outlineLevelCol="1" x14ac:dyDescent="0.25"/>
  <cols>
    <col min="1" max="1" width="23.140625" style="31" bestFit="1" customWidth="1"/>
    <col min="2" max="2" width="10.5703125" customWidth="1" outlineLevel="1"/>
    <col min="3" max="3" width="7.7109375" customWidth="1"/>
    <col min="4" max="6" width="9.7109375" customWidth="1" outlineLevel="1"/>
    <col min="7" max="7" width="7.7109375" customWidth="1"/>
    <col min="8" max="10" width="9.7109375" customWidth="1" outlineLevel="1"/>
    <col min="11" max="11" width="7.7109375" customWidth="1"/>
    <col min="12" max="14" width="9.7109375" customWidth="1" outlineLevel="1"/>
    <col min="15" max="15" width="7.7109375" customWidth="1"/>
    <col min="16" max="18" width="9.7109375" customWidth="1" outlineLevel="1"/>
    <col min="19" max="19" width="7.7109375" customWidth="1"/>
    <col min="20" max="22" width="9.7109375" customWidth="1" outlineLevel="1"/>
    <col min="23" max="23" width="7.7109375" customWidth="1"/>
    <col min="24" max="26" width="9.7109375" customWidth="1" outlineLevel="1"/>
    <col min="27" max="27" width="7.7109375" customWidth="1"/>
    <col min="28" max="30" width="9.7109375" customWidth="1" outlineLevel="1"/>
    <col min="31" max="31" width="7.7109375" customWidth="1"/>
    <col min="32" max="34" width="9.7109375" customWidth="1" outlineLevel="1"/>
    <col min="35" max="35" width="7.7109375" customWidth="1"/>
    <col min="36" max="38" width="9.7109375" customWidth="1" outlineLevel="1"/>
    <col min="39" max="39" width="7.7109375" customWidth="1"/>
    <col min="40" max="42" width="9.7109375" customWidth="1" outlineLevel="1"/>
    <col min="43" max="43" width="7.7109375" customWidth="1"/>
    <col min="44" max="46" width="9.7109375" customWidth="1" outlineLevel="1"/>
    <col min="47" max="47" width="7.7109375" customWidth="1"/>
    <col min="48" max="50" width="9.7109375" customWidth="1" outlineLevel="1"/>
    <col min="51" max="51" width="7.7109375" customWidth="1"/>
  </cols>
  <sheetData>
    <row r="1" spans="1:53" ht="24.95" customHeight="1" x14ac:dyDescent="0.25"/>
    <row r="2" spans="1:53" ht="24.95" customHeight="1" x14ac:dyDescent="0.25">
      <c r="A2" s="31" t="s">
        <v>1371</v>
      </c>
      <c r="C2" s="45">
        <f>Kabel!E7</f>
        <v>15</v>
      </c>
      <c r="D2" s="45"/>
      <c r="E2" s="45"/>
      <c r="F2" s="45"/>
      <c r="G2" s="45">
        <f>Kabel!E4</f>
        <v>1000</v>
      </c>
      <c r="H2" s="45"/>
      <c r="I2" s="45"/>
      <c r="J2" s="45"/>
      <c r="K2" s="45">
        <f>Kabel!E5</f>
        <v>3000</v>
      </c>
      <c r="L2" s="45"/>
      <c r="M2" s="45"/>
      <c r="N2" s="45"/>
      <c r="O2" s="45">
        <f>Kabel!E17</f>
        <v>950</v>
      </c>
      <c r="P2" s="45"/>
      <c r="Q2" s="45"/>
      <c r="R2" s="45"/>
      <c r="S2" s="45">
        <f>Kabel!E6</f>
        <v>1500</v>
      </c>
      <c r="T2" s="45"/>
      <c r="U2" s="45"/>
      <c r="V2" s="45"/>
      <c r="W2" s="45">
        <f>Kabel!E18</f>
        <v>500</v>
      </c>
      <c r="X2" s="45"/>
      <c r="Y2" s="45"/>
      <c r="Z2" s="45"/>
      <c r="AA2" s="45">
        <f>Kabel!E9</f>
        <v>1000</v>
      </c>
      <c r="AB2" s="45"/>
      <c r="AC2" s="45"/>
      <c r="AD2" s="45"/>
      <c r="AE2" s="45">
        <f>Kabel!E13</f>
        <v>2000</v>
      </c>
      <c r="AF2" s="45"/>
      <c r="AG2" s="45"/>
      <c r="AH2" s="45"/>
      <c r="AI2" s="45">
        <f>Kabel!E10</f>
        <v>500</v>
      </c>
      <c r="AJ2" s="45"/>
      <c r="AK2" s="45"/>
      <c r="AL2" s="45"/>
      <c r="AM2" s="45">
        <f>Kabel!E11</f>
        <v>500</v>
      </c>
      <c r="AN2" s="45"/>
      <c r="AO2" s="45"/>
      <c r="AP2" s="45"/>
      <c r="AQ2" s="45">
        <f>Kabel!E8</f>
        <v>100</v>
      </c>
      <c r="AR2" s="45"/>
      <c r="AS2" s="45"/>
      <c r="AT2" s="45"/>
      <c r="AU2" s="45">
        <f>Kabel!E24</f>
        <v>100</v>
      </c>
      <c r="AV2" s="45"/>
      <c r="AW2" s="45"/>
      <c r="AX2" s="45"/>
      <c r="AY2" s="45">
        <f>Kabel!E20</f>
        <v>210</v>
      </c>
      <c r="AZ2" s="55">
        <f>Kabel!E23</f>
        <v>50</v>
      </c>
    </row>
    <row r="3" spans="1:53" ht="24.95" customHeight="1" x14ac:dyDescent="0.25">
      <c r="A3" s="31" t="s">
        <v>1372</v>
      </c>
      <c r="C3" s="45">
        <f>Kabel!F7</f>
        <v>0</v>
      </c>
      <c r="D3" s="45"/>
      <c r="E3" s="45"/>
      <c r="F3" s="45"/>
      <c r="G3" s="45">
        <f>Kabel!F4</f>
        <v>350</v>
      </c>
      <c r="H3" s="45"/>
      <c r="I3" s="45"/>
      <c r="J3" s="45"/>
      <c r="K3" s="45">
        <f>Kabel!F5</f>
        <v>2000</v>
      </c>
      <c r="L3" s="45"/>
      <c r="M3" s="45"/>
      <c r="N3" s="45"/>
      <c r="O3" s="45">
        <f>Kabel!F17</f>
        <v>950</v>
      </c>
      <c r="P3" s="45"/>
      <c r="Q3" s="45"/>
      <c r="R3" s="45"/>
      <c r="S3" s="45">
        <f>Kabel!F6</f>
        <v>1500</v>
      </c>
      <c r="T3" s="45"/>
      <c r="U3" s="45"/>
      <c r="V3" s="45"/>
      <c r="W3" s="45">
        <f>Kabel!F18</f>
        <v>500</v>
      </c>
      <c r="X3" s="45"/>
      <c r="Y3" s="45"/>
      <c r="Z3" s="45"/>
      <c r="AA3" s="45">
        <f>Kabel!F9</f>
        <v>1000</v>
      </c>
      <c r="AB3" s="45"/>
      <c r="AC3" s="45"/>
      <c r="AD3" s="45"/>
      <c r="AE3" s="45">
        <f>Kabel!F13</f>
        <v>2000</v>
      </c>
      <c r="AF3" s="45"/>
      <c r="AG3" s="45"/>
      <c r="AH3" s="45"/>
      <c r="AI3" s="45">
        <f>Kabel!F10</f>
        <v>500</v>
      </c>
      <c r="AJ3" s="45"/>
      <c r="AK3" s="45"/>
      <c r="AL3" s="45"/>
      <c r="AM3" s="45">
        <f>Kabel!F11</f>
        <v>500</v>
      </c>
      <c r="AN3" s="45"/>
      <c r="AO3" s="45"/>
      <c r="AP3" s="45"/>
      <c r="AQ3" s="45">
        <f>Kabel!F8</f>
        <v>100</v>
      </c>
      <c r="AR3" s="45"/>
      <c r="AS3" s="45"/>
      <c r="AT3" s="45"/>
      <c r="AU3" s="45">
        <f>Kabel!F24</f>
        <v>100</v>
      </c>
      <c r="AV3" s="45"/>
      <c r="AW3" s="45"/>
      <c r="AX3" s="45"/>
      <c r="AY3" s="45"/>
      <c r="AZ3" s="55">
        <f>Kabel!F23</f>
        <v>50</v>
      </c>
    </row>
    <row r="4" spans="1:53" ht="24.95" customHeight="1" x14ac:dyDescent="0.25">
      <c r="A4" s="31" t="s">
        <v>1373</v>
      </c>
      <c r="C4" s="45">
        <f>SUM(C9+'TR.3 1.OG Kabel Teil 2'!C9)</f>
        <v>0</v>
      </c>
      <c r="G4" s="45">
        <f>SUM(G9+'TR.3 1.OG Kabel Teil 2'!G9)</f>
        <v>0</v>
      </c>
      <c r="H4" s="45"/>
      <c r="I4" s="45"/>
      <c r="J4" s="45"/>
      <c r="K4" s="45">
        <f>SUM(K9+'TR.3 1.OG Kabel Teil 2'!K9)</f>
        <v>0</v>
      </c>
      <c r="L4" s="45"/>
      <c r="M4" s="45"/>
      <c r="N4" s="45"/>
      <c r="O4" s="45">
        <f>SUM(O9+'TR.3 1.OG Kabel Teil 2'!O9)</f>
        <v>0</v>
      </c>
      <c r="P4" s="45"/>
      <c r="Q4" s="45"/>
      <c r="R4" s="45"/>
      <c r="S4" s="45">
        <f>SUM(S9+'TR.3 1.OG Kabel Teil 2'!S9)</f>
        <v>0</v>
      </c>
      <c r="T4" s="45"/>
      <c r="U4" s="45"/>
      <c r="V4" s="45"/>
      <c r="W4" s="45">
        <f>SUM(W9+'TR.3 1.OG Kabel Teil 2'!W9)</f>
        <v>0</v>
      </c>
      <c r="X4" s="45"/>
      <c r="Y4" s="45"/>
      <c r="Z4" s="45"/>
      <c r="AA4" s="45">
        <f>SUM(AA9+'TR.3 1.OG Kabel Teil 2'!AA9)</f>
        <v>0</v>
      </c>
      <c r="AB4" s="45"/>
      <c r="AC4" s="45"/>
      <c r="AD4" s="45"/>
      <c r="AE4" s="45">
        <f>SUM(AE9+'TR.3 1.OG Kabel Teil 2'!AE9)</f>
        <v>0</v>
      </c>
      <c r="AF4" s="45"/>
      <c r="AG4" s="45"/>
      <c r="AH4" s="45"/>
      <c r="AI4" s="45">
        <f>SUM(AI9+'TR.3 1.OG Kabel Teil 2'!AI9)</f>
        <v>0</v>
      </c>
      <c r="AJ4" s="45"/>
      <c r="AK4" s="45"/>
      <c r="AL4" s="45"/>
      <c r="AM4" s="45">
        <f>SUM(AM9+'TR.3 1.OG Kabel Teil 2'!AM9)</f>
        <v>0</v>
      </c>
      <c r="AN4" s="45"/>
      <c r="AO4" s="45"/>
      <c r="AP4" s="45"/>
      <c r="AQ4" s="45">
        <f>SUM(AQ9+'TR.3 1.OG Kabel Teil 2'!AQ9)</f>
        <v>0</v>
      </c>
      <c r="AR4" s="45"/>
      <c r="AS4" s="45"/>
      <c r="AT4" s="45"/>
      <c r="AU4" s="45">
        <f>SUM(AU9+'TR.3 1.OG Kabel Teil 2'!AU9)</f>
        <v>0</v>
      </c>
      <c r="AV4" s="45"/>
      <c r="AW4" s="45"/>
      <c r="AX4" s="45"/>
      <c r="AY4" s="45">
        <f>SUM(AY9+'TR.3 1.OG Kabel Teil 2'!AY9)</f>
        <v>0</v>
      </c>
      <c r="AZ4" s="55">
        <f>SUM(AZ9+'TR.3 1.OG Kabel Teil 2'!AZ9)</f>
        <v>0</v>
      </c>
    </row>
    <row r="5" spans="1:53" s="33" customFormat="1" ht="120" customHeight="1" x14ac:dyDescent="0.25">
      <c r="A5" s="34"/>
      <c r="B5" s="39" t="s">
        <v>127</v>
      </c>
      <c r="C5" s="48" t="s">
        <v>1324</v>
      </c>
      <c r="D5" s="39" t="s">
        <v>1337</v>
      </c>
      <c r="E5" s="39" t="s">
        <v>1362</v>
      </c>
      <c r="F5" s="39" t="s">
        <v>1338</v>
      </c>
      <c r="G5" s="48" t="s">
        <v>1321</v>
      </c>
      <c r="H5" s="39" t="s">
        <v>1339</v>
      </c>
      <c r="I5" s="39" t="s">
        <v>1363</v>
      </c>
      <c r="J5" s="39" t="s">
        <v>1340</v>
      </c>
      <c r="K5" s="48" t="s">
        <v>1322</v>
      </c>
      <c r="L5" s="39" t="s">
        <v>1531</v>
      </c>
      <c r="M5" s="39" t="s">
        <v>1532</v>
      </c>
      <c r="N5" s="39" t="s">
        <v>1533</v>
      </c>
      <c r="O5" s="48" t="s">
        <v>1522</v>
      </c>
      <c r="P5" s="39" t="s">
        <v>1341</v>
      </c>
      <c r="Q5" s="39" t="s">
        <v>1364</v>
      </c>
      <c r="R5" s="39" t="s">
        <v>1342</v>
      </c>
      <c r="S5" s="48" t="s">
        <v>1323</v>
      </c>
      <c r="T5" s="39" t="s">
        <v>1343</v>
      </c>
      <c r="U5" s="39" t="s">
        <v>1365</v>
      </c>
      <c r="V5" s="39" t="s">
        <v>1344</v>
      </c>
      <c r="W5" s="48" t="s">
        <v>1356</v>
      </c>
      <c r="X5" s="39" t="s">
        <v>1345</v>
      </c>
      <c r="Y5" s="39" t="s">
        <v>1366</v>
      </c>
      <c r="Z5" s="39" t="s">
        <v>1346</v>
      </c>
      <c r="AA5" s="48" t="s">
        <v>1357</v>
      </c>
      <c r="AB5" s="39" t="s">
        <v>1347</v>
      </c>
      <c r="AC5" s="39" t="s">
        <v>1367</v>
      </c>
      <c r="AD5" s="39" t="s">
        <v>1348</v>
      </c>
      <c r="AE5" s="48" t="s">
        <v>1358</v>
      </c>
      <c r="AF5" s="39" t="s">
        <v>1347</v>
      </c>
      <c r="AG5" s="39" t="s">
        <v>1367</v>
      </c>
      <c r="AH5" s="39" t="s">
        <v>1348</v>
      </c>
      <c r="AI5" s="48" t="s">
        <v>1536</v>
      </c>
      <c r="AJ5" s="39" t="s">
        <v>1352</v>
      </c>
      <c r="AK5" s="39" t="s">
        <v>1368</v>
      </c>
      <c r="AL5" s="39" t="s">
        <v>1353</v>
      </c>
      <c r="AM5" s="48" t="s">
        <v>1359</v>
      </c>
      <c r="AN5" s="39" t="s">
        <v>1349</v>
      </c>
      <c r="AO5" s="39" t="s">
        <v>1369</v>
      </c>
      <c r="AP5" s="39" t="s">
        <v>1350</v>
      </c>
      <c r="AQ5" s="48" t="s">
        <v>1360</v>
      </c>
      <c r="AR5" s="39" t="s">
        <v>1539</v>
      </c>
      <c r="AS5" s="39" t="s">
        <v>1540</v>
      </c>
      <c r="AT5" s="39" t="s">
        <v>1541</v>
      </c>
      <c r="AU5" s="48" t="s">
        <v>1545</v>
      </c>
      <c r="AV5" s="39" t="s">
        <v>1354</v>
      </c>
      <c r="AW5" s="39" t="s">
        <v>1370</v>
      </c>
      <c r="AX5" s="39" t="s">
        <v>1355</v>
      </c>
      <c r="AY5" s="48" t="s">
        <v>1361</v>
      </c>
      <c r="AZ5" s="39" t="s">
        <v>1530</v>
      </c>
      <c r="BA5" s="39" t="s">
        <v>1530</v>
      </c>
    </row>
    <row r="6" spans="1:53" s="1" customFormat="1" ht="60" customHeight="1" x14ac:dyDescent="0.25">
      <c r="A6" s="17"/>
      <c r="B6" s="32" t="s">
        <v>126</v>
      </c>
      <c r="C6" s="28"/>
      <c r="D6" s="32" t="s">
        <v>1127</v>
      </c>
      <c r="E6" s="32" t="s">
        <v>1129</v>
      </c>
      <c r="F6" s="32" t="s">
        <v>1133</v>
      </c>
      <c r="G6" s="28"/>
      <c r="H6" s="32" t="s">
        <v>1155</v>
      </c>
      <c r="I6" s="32" t="s">
        <v>1157</v>
      </c>
      <c r="J6" s="32" t="s">
        <v>1161</v>
      </c>
      <c r="K6" s="28"/>
      <c r="L6" s="32" t="s">
        <v>1234</v>
      </c>
      <c r="M6" s="32" t="s">
        <v>1236</v>
      </c>
      <c r="N6" s="32" t="s">
        <v>1238</v>
      </c>
      <c r="O6" s="28"/>
      <c r="P6" s="32" t="s">
        <v>1141</v>
      </c>
      <c r="Q6" s="32" t="s">
        <v>1143</v>
      </c>
      <c r="R6" s="32" t="s">
        <v>1147</v>
      </c>
      <c r="S6" s="28"/>
      <c r="T6" s="32" t="s">
        <v>1169</v>
      </c>
      <c r="U6" s="32" t="s">
        <v>1171</v>
      </c>
      <c r="V6" s="32" t="s">
        <v>1175</v>
      </c>
      <c r="W6" s="28"/>
      <c r="X6" s="32" t="s">
        <v>1019</v>
      </c>
      <c r="Y6" s="32" t="s">
        <v>1021</v>
      </c>
      <c r="Z6" s="32" t="s">
        <v>1025</v>
      </c>
      <c r="AA6" s="28"/>
      <c r="AB6" s="32" t="s">
        <v>963</v>
      </c>
      <c r="AC6" s="32" t="s">
        <v>965</v>
      </c>
      <c r="AD6" s="32" t="s">
        <v>969</v>
      </c>
      <c r="AE6" s="28"/>
      <c r="AF6" s="32" t="s">
        <v>963</v>
      </c>
      <c r="AG6" s="32" t="s">
        <v>965</v>
      </c>
      <c r="AH6" s="32" t="s">
        <v>969</v>
      </c>
      <c r="AI6" s="28"/>
      <c r="AJ6" s="32" t="s">
        <v>825</v>
      </c>
      <c r="AK6" s="32" t="s">
        <v>827</v>
      </c>
      <c r="AL6" s="32" t="s">
        <v>831</v>
      </c>
      <c r="AM6" s="28"/>
      <c r="AN6" s="32" t="s">
        <v>849</v>
      </c>
      <c r="AO6" s="32" t="s">
        <v>853</v>
      </c>
      <c r="AP6" s="32" t="s">
        <v>857</v>
      </c>
      <c r="AQ6" s="28"/>
      <c r="AR6" s="32" t="s">
        <v>885</v>
      </c>
      <c r="AS6" s="32" t="s">
        <v>887</v>
      </c>
      <c r="AT6" s="32" t="s">
        <v>891</v>
      </c>
      <c r="AU6" s="28"/>
      <c r="AV6" s="32" t="s">
        <v>901</v>
      </c>
      <c r="AW6" s="32" t="s">
        <v>903</v>
      </c>
      <c r="AX6" s="32" t="s">
        <v>907</v>
      </c>
      <c r="AY6" s="28"/>
      <c r="AZ6" s="32" t="s">
        <v>1535</v>
      </c>
      <c r="BA6" s="28"/>
    </row>
    <row r="7" spans="1:53" s="36" customFormat="1" ht="45" customHeight="1" x14ac:dyDescent="0.25">
      <c r="A7" s="35"/>
      <c r="B7" s="40">
        <v>11.67</v>
      </c>
      <c r="C7" s="41"/>
      <c r="D7" s="40">
        <v>3.72</v>
      </c>
      <c r="E7" s="40">
        <v>3.72</v>
      </c>
      <c r="F7" s="40">
        <v>3.72</v>
      </c>
      <c r="G7" s="41"/>
      <c r="H7" s="40">
        <v>4.17</v>
      </c>
      <c r="I7" s="40">
        <v>4.17</v>
      </c>
      <c r="J7" s="40">
        <v>4.17</v>
      </c>
      <c r="K7" s="41"/>
      <c r="L7" s="40">
        <v>5.75</v>
      </c>
      <c r="M7" s="40">
        <v>5.75</v>
      </c>
      <c r="N7" s="40">
        <v>5.75</v>
      </c>
      <c r="O7" s="41"/>
      <c r="P7" s="40">
        <v>4.1900000000000004</v>
      </c>
      <c r="Q7" s="40">
        <v>4.1900000000000004</v>
      </c>
      <c r="R7" s="40">
        <v>4.1900000000000004</v>
      </c>
      <c r="S7" s="41"/>
      <c r="T7" s="40">
        <v>5</v>
      </c>
      <c r="U7" s="40">
        <v>5</v>
      </c>
      <c r="V7" s="40">
        <v>5</v>
      </c>
      <c r="W7" s="41"/>
      <c r="X7" s="40">
        <v>3.1</v>
      </c>
      <c r="Y7" s="40">
        <v>3.1</v>
      </c>
      <c r="Z7" s="40">
        <v>3.55</v>
      </c>
      <c r="AA7" s="41"/>
      <c r="AB7" s="40">
        <v>3.2</v>
      </c>
      <c r="AC7" s="40">
        <v>3.2</v>
      </c>
      <c r="AD7" s="40">
        <v>3.2</v>
      </c>
      <c r="AE7" s="41"/>
      <c r="AF7" s="40">
        <v>4.4000000000000004</v>
      </c>
      <c r="AG7" s="40">
        <v>4.4000000000000004</v>
      </c>
      <c r="AH7" s="40">
        <v>4.4000000000000004</v>
      </c>
      <c r="AI7" s="41"/>
      <c r="AJ7" s="40">
        <v>3.78</v>
      </c>
      <c r="AK7" s="40">
        <v>3.78</v>
      </c>
      <c r="AL7" s="40">
        <v>3.99</v>
      </c>
      <c r="AM7" s="41"/>
      <c r="AN7" s="40">
        <v>3.39</v>
      </c>
      <c r="AO7" s="40">
        <v>3.39</v>
      </c>
      <c r="AP7" s="40">
        <v>3.59</v>
      </c>
      <c r="AQ7" s="41"/>
      <c r="AR7" s="40">
        <v>4.96</v>
      </c>
      <c r="AS7" s="40">
        <v>4.96</v>
      </c>
      <c r="AT7" s="40">
        <v>5.1100000000000003</v>
      </c>
      <c r="AU7" s="41"/>
      <c r="AV7" s="40">
        <v>6.66</v>
      </c>
      <c r="AW7" s="40">
        <v>6.66</v>
      </c>
      <c r="AX7" s="40">
        <v>11.6</v>
      </c>
      <c r="AY7" s="41"/>
      <c r="AZ7" s="40">
        <v>31.53</v>
      </c>
      <c r="BA7" s="56"/>
    </row>
    <row r="8" spans="1:53" s="12" customFormat="1" ht="20.25" customHeight="1" x14ac:dyDescent="0.25">
      <c r="A8" s="44">
        <f>SUM(B8:BC8)</f>
        <v>0</v>
      </c>
      <c r="B8" s="12">
        <f t="shared" ref="B8:H8" si="0">B9*B7</f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H8" s="12">
        <f t="shared" si="0"/>
        <v>0</v>
      </c>
      <c r="I8" s="12">
        <f>I9*I7</f>
        <v>0</v>
      </c>
      <c r="J8" s="12">
        <f t="shared" ref="J8:AZ8" si="1">J9*J7</f>
        <v>0</v>
      </c>
      <c r="L8" s="12">
        <f t="shared" ref="L8" si="2">L9*L7</f>
        <v>0</v>
      </c>
      <c r="M8" s="12">
        <f>M9*M7</f>
        <v>0</v>
      </c>
      <c r="N8" s="12">
        <f t="shared" ref="N8" si="3">N9*N7</f>
        <v>0</v>
      </c>
      <c r="P8" s="12">
        <f t="shared" si="1"/>
        <v>0</v>
      </c>
      <c r="Q8" s="12">
        <f t="shared" si="1"/>
        <v>0</v>
      </c>
      <c r="R8" s="12">
        <f t="shared" si="1"/>
        <v>0</v>
      </c>
      <c r="T8" s="12">
        <f t="shared" si="1"/>
        <v>0</v>
      </c>
      <c r="U8" s="12">
        <f t="shared" si="1"/>
        <v>0</v>
      </c>
      <c r="V8" s="12">
        <f t="shared" si="1"/>
        <v>0</v>
      </c>
      <c r="X8" s="12">
        <f t="shared" si="1"/>
        <v>0</v>
      </c>
      <c r="Y8" s="12">
        <f t="shared" si="1"/>
        <v>0</v>
      </c>
      <c r="Z8" s="12">
        <f t="shared" si="1"/>
        <v>0</v>
      </c>
      <c r="AB8" s="12">
        <f t="shared" si="1"/>
        <v>0</v>
      </c>
      <c r="AC8" s="12">
        <f t="shared" si="1"/>
        <v>0</v>
      </c>
      <c r="AD8" s="12">
        <f t="shared" si="1"/>
        <v>0</v>
      </c>
      <c r="AF8" s="12">
        <f t="shared" ref="AF8:AH8" si="4">AF9*AF7</f>
        <v>0</v>
      </c>
      <c r="AG8" s="12">
        <f t="shared" si="4"/>
        <v>0</v>
      </c>
      <c r="AH8" s="12">
        <f t="shared" si="4"/>
        <v>0</v>
      </c>
      <c r="AJ8" s="12">
        <f t="shared" si="1"/>
        <v>0</v>
      </c>
      <c r="AK8" s="12">
        <f t="shared" si="1"/>
        <v>0</v>
      </c>
      <c r="AL8" s="12">
        <f t="shared" si="1"/>
        <v>0</v>
      </c>
      <c r="AN8" s="12">
        <f t="shared" si="1"/>
        <v>0</v>
      </c>
      <c r="AO8" s="12">
        <f t="shared" si="1"/>
        <v>0</v>
      </c>
      <c r="AP8" s="12">
        <f t="shared" si="1"/>
        <v>0</v>
      </c>
      <c r="AR8" s="12">
        <f t="shared" ref="AR8:AT8" si="5">AR9*AR7</f>
        <v>0</v>
      </c>
      <c r="AS8" s="12">
        <f t="shared" si="5"/>
        <v>0</v>
      </c>
      <c r="AT8" s="12">
        <f t="shared" si="5"/>
        <v>0</v>
      </c>
      <c r="AV8" s="12">
        <f t="shared" si="1"/>
        <v>0</v>
      </c>
      <c r="AW8" s="12">
        <f t="shared" si="1"/>
        <v>0</v>
      </c>
      <c r="AX8" s="12">
        <f t="shared" si="1"/>
        <v>0</v>
      </c>
      <c r="AZ8" s="12">
        <f t="shared" si="1"/>
        <v>0</v>
      </c>
    </row>
    <row r="9" spans="1:53" ht="15" customHeight="1" x14ac:dyDescent="0.25">
      <c r="B9" s="45">
        <f>SUM(B14:B268)</f>
        <v>0</v>
      </c>
      <c r="C9" s="46">
        <f>SUM(B9)</f>
        <v>0</v>
      </c>
      <c r="D9" s="45">
        <f>SUM(D14:D268)</f>
        <v>0</v>
      </c>
      <c r="E9" s="45">
        <f>SUM(E14:E268)</f>
        <v>0</v>
      </c>
      <c r="F9" s="45">
        <f>SUM(F14:F268)</f>
        <v>0</v>
      </c>
      <c r="G9" s="46">
        <f>SUM(D9:F9)</f>
        <v>0</v>
      </c>
      <c r="H9" s="45">
        <f>SUM(H14:H268)</f>
        <v>0</v>
      </c>
      <c r="I9" s="45">
        <f>SUM(I14:I268)</f>
        <v>0</v>
      </c>
      <c r="J9" s="45">
        <f>SUM(J14:J268)</f>
        <v>0</v>
      </c>
      <c r="K9" s="46">
        <f>SUM(H9:J9)</f>
        <v>0</v>
      </c>
      <c r="L9" s="45">
        <f>SUM(L14:L268)</f>
        <v>0</v>
      </c>
      <c r="M9" s="45">
        <f>SUM(M14:M268)</f>
        <v>0</v>
      </c>
      <c r="N9" s="45">
        <f>SUM(N14:N268)</f>
        <v>0</v>
      </c>
      <c r="O9" s="46">
        <f>SUM(L9:N9)</f>
        <v>0</v>
      </c>
      <c r="P9" s="45">
        <f>SUM(P14:P268)</f>
        <v>0</v>
      </c>
      <c r="Q9" s="45">
        <f>SUM(Q14:Q268)</f>
        <v>0</v>
      </c>
      <c r="R9" s="45">
        <f>SUM(R14:R268)</f>
        <v>0</v>
      </c>
      <c r="S9" s="46">
        <f>SUM(P9:R9)</f>
        <v>0</v>
      </c>
      <c r="T9" s="45">
        <f>SUM(T14:T268)</f>
        <v>0</v>
      </c>
      <c r="U9" s="45">
        <f>SUM(U14:U268)</f>
        <v>0</v>
      </c>
      <c r="V9" s="45">
        <f>SUM(V14:V268)</f>
        <v>0</v>
      </c>
      <c r="W9" s="46">
        <f>SUM(T9:V9)</f>
        <v>0</v>
      </c>
      <c r="X9" s="45">
        <f>SUM(X14:X268)</f>
        <v>0</v>
      </c>
      <c r="Y9" s="45">
        <f>SUM(Y14:Y268)</f>
        <v>0</v>
      </c>
      <c r="Z9" s="45">
        <f>SUM(Z14:Z268)</f>
        <v>0</v>
      </c>
      <c r="AA9" s="46">
        <f>SUM(X9:Z9)</f>
        <v>0</v>
      </c>
      <c r="AB9" s="45">
        <f t="shared" ref="AB9:AD9" si="6">SUM(AB14:AB268)</f>
        <v>0</v>
      </c>
      <c r="AC9" s="45">
        <f t="shared" si="6"/>
        <v>0</v>
      </c>
      <c r="AD9" s="45">
        <f t="shared" si="6"/>
        <v>0</v>
      </c>
      <c r="AE9" s="46">
        <f>SUM(AB9:AD9)</f>
        <v>0</v>
      </c>
      <c r="AF9" s="45">
        <f>SUM(AF14:AF268)</f>
        <v>0</v>
      </c>
      <c r="AG9" s="45">
        <f>SUM(AG14:AG268)</f>
        <v>0</v>
      </c>
      <c r="AH9" s="45">
        <f>SUM(AH14:AH268)</f>
        <v>0</v>
      </c>
      <c r="AI9" s="46">
        <f>SUM(AF9:AH9)</f>
        <v>0</v>
      </c>
      <c r="AJ9" s="45">
        <f>SUM(AJ14:AJ268)</f>
        <v>0</v>
      </c>
      <c r="AK9" s="45">
        <f>SUM(AK14:AK268)</f>
        <v>0</v>
      </c>
      <c r="AL9" s="45">
        <f>SUM(AL14:AL268)</f>
        <v>0</v>
      </c>
      <c r="AM9" s="46">
        <f>SUM(AJ9:AL9)</f>
        <v>0</v>
      </c>
      <c r="AN9" s="45">
        <f>SUM(AN14:AN268)</f>
        <v>0</v>
      </c>
      <c r="AO9" s="45">
        <f>SUM(AO14:AO268)</f>
        <v>0</v>
      </c>
      <c r="AP9" s="45">
        <f>SUM(AP14:AP268)</f>
        <v>0</v>
      </c>
      <c r="AQ9" s="46">
        <f>SUM(AN9:AP9)</f>
        <v>0</v>
      </c>
      <c r="AR9" s="45">
        <f>SUM(AR14:AR268)</f>
        <v>0</v>
      </c>
      <c r="AS9" s="45">
        <f>SUM(AS14:AS268)</f>
        <v>0</v>
      </c>
      <c r="AT9" s="45">
        <f>SUM(AT14:AT268)</f>
        <v>0</v>
      </c>
      <c r="AU9" s="46">
        <f>SUM(AR9:AT9)</f>
        <v>0</v>
      </c>
      <c r="AV9" s="45">
        <f>SUM(AV14:AV268)</f>
        <v>0</v>
      </c>
      <c r="AW9" s="45">
        <f>SUM(AW14:AW268)</f>
        <v>0</v>
      </c>
      <c r="AX9" s="45">
        <f>SUM(AX14:AX268)</f>
        <v>0</v>
      </c>
      <c r="AY9" s="46">
        <f>SUM(AV9:AX9)</f>
        <v>0</v>
      </c>
      <c r="AZ9" s="55">
        <f>SUM(AZ14:AZ175)</f>
        <v>0</v>
      </c>
    </row>
    <row r="10" spans="1:53" ht="57" customHeight="1" x14ac:dyDescent="0.25">
      <c r="A10" s="29" t="s">
        <v>1534</v>
      </c>
    </row>
    <row r="12" spans="1:53" ht="15.75" x14ac:dyDescent="0.25">
      <c r="A12" s="30" t="s">
        <v>1351</v>
      </c>
    </row>
    <row r="13" spans="1:53" ht="15.75" thickBot="1" x14ac:dyDescent="0.3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</row>
    <row r="14" spans="1:53" s="62" customFormat="1" x14ac:dyDescent="0.25">
      <c r="A14" s="31"/>
      <c r="B14"/>
      <c r="C14" s="49"/>
      <c r="D14"/>
      <c r="E14"/>
      <c r="F14"/>
      <c r="G14" s="49"/>
      <c r="H14"/>
      <c r="I14"/>
      <c r="J14"/>
      <c r="K14" s="49"/>
      <c r="L14"/>
      <c r="M14"/>
      <c r="N14"/>
      <c r="O14" s="49"/>
      <c r="P14"/>
      <c r="Q14"/>
      <c r="R14"/>
      <c r="S14" s="49"/>
      <c r="T14"/>
      <c r="U14"/>
      <c r="V14"/>
      <c r="W14" s="49"/>
      <c r="X14"/>
      <c r="Y14"/>
      <c r="Z14"/>
      <c r="AA14" s="49"/>
      <c r="AB14"/>
      <c r="AC14"/>
      <c r="AD14"/>
      <c r="AE14" s="49"/>
      <c r="AF14"/>
      <c r="AG14"/>
      <c r="AH14"/>
      <c r="AI14" s="49"/>
      <c r="AJ14"/>
      <c r="AK14"/>
      <c r="AL14"/>
      <c r="AM14" s="49"/>
      <c r="AN14"/>
      <c r="AO14"/>
      <c r="AP14"/>
      <c r="AQ14" s="49"/>
      <c r="AR14"/>
      <c r="AS14"/>
      <c r="AT14"/>
      <c r="AU14" s="49"/>
      <c r="AV14"/>
      <c r="AW14"/>
      <c r="AX14"/>
      <c r="AY14" s="49"/>
      <c r="AZ14"/>
      <c r="BA14"/>
    </row>
    <row r="15" spans="1:53" s="62" customFormat="1" x14ac:dyDescent="0.25">
      <c r="A15" s="38"/>
      <c r="B15" s="25"/>
      <c r="C15" s="49"/>
      <c r="D15" s="25"/>
      <c r="E15" s="25"/>
      <c r="F15" s="25"/>
      <c r="G15" s="49"/>
      <c r="H15" s="25"/>
      <c r="I15" s="25"/>
      <c r="J15" s="25"/>
      <c r="K15" s="49"/>
      <c r="L15" s="25"/>
      <c r="M15" s="25"/>
      <c r="N15" s="25"/>
      <c r="O15" s="49"/>
      <c r="P15" s="25"/>
      <c r="Q15" s="25"/>
      <c r="R15" s="25"/>
      <c r="S15" s="49"/>
      <c r="T15" s="25"/>
      <c r="U15" s="25"/>
      <c r="V15" s="25"/>
      <c r="W15" s="49"/>
      <c r="X15" s="25"/>
      <c r="Y15" s="25"/>
      <c r="Z15" s="25"/>
      <c r="AA15" s="49"/>
      <c r="AB15" s="25"/>
      <c r="AC15" s="25"/>
      <c r="AD15" s="25"/>
      <c r="AE15" s="49"/>
      <c r="AF15" s="25"/>
      <c r="AG15" s="25"/>
      <c r="AH15" s="25"/>
      <c r="AI15" s="49"/>
      <c r="AJ15" s="25"/>
      <c r="AK15" s="25"/>
      <c r="AL15" s="25"/>
      <c r="AM15" s="49"/>
      <c r="AN15" s="25"/>
      <c r="AO15" s="25"/>
      <c r="AP15" s="25"/>
      <c r="AQ15" s="49"/>
      <c r="AR15" s="25"/>
      <c r="AS15" s="25"/>
      <c r="AT15" s="25"/>
      <c r="AU15" s="49"/>
      <c r="AV15" s="25"/>
      <c r="AW15" s="25"/>
      <c r="AX15" s="25"/>
      <c r="AY15" s="49"/>
      <c r="AZ15" s="25"/>
      <c r="BA15" s="25"/>
    </row>
    <row r="16" spans="1:53" s="62" customFormat="1" x14ac:dyDescent="0.25">
      <c r="A16" s="31"/>
      <c r="B16"/>
      <c r="C16" s="49"/>
      <c r="D16"/>
      <c r="E16"/>
      <c r="F16"/>
      <c r="G16" s="49"/>
      <c r="H16"/>
      <c r="I16"/>
      <c r="J16"/>
      <c r="K16" s="49"/>
      <c r="L16"/>
      <c r="M16"/>
      <c r="N16"/>
      <c r="O16" s="49"/>
      <c r="P16"/>
      <c r="Q16"/>
      <c r="R16"/>
      <c r="S16" s="49"/>
      <c r="T16"/>
      <c r="U16"/>
      <c r="V16"/>
      <c r="W16" s="49"/>
      <c r="X16"/>
      <c r="Y16"/>
      <c r="Z16"/>
      <c r="AA16" s="49"/>
      <c r="AB16"/>
      <c r="AC16"/>
      <c r="AD16"/>
      <c r="AE16" s="49"/>
      <c r="AF16"/>
      <c r="AG16"/>
      <c r="AH16"/>
      <c r="AI16" s="49"/>
      <c r="AJ16"/>
      <c r="AK16"/>
      <c r="AL16"/>
      <c r="AM16" s="49"/>
      <c r="AN16"/>
      <c r="AO16"/>
      <c r="AP16"/>
      <c r="AQ16" s="49"/>
      <c r="AR16"/>
      <c r="AS16"/>
      <c r="AT16"/>
      <c r="AU16" s="49"/>
      <c r="AV16"/>
      <c r="AW16"/>
      <c r="AX16"/>
      <c r="AY16" s="49"/>
      <c r="AZ16"/>
      <c r="BA16"/>
    </row>
    <row r="17" spans="1:53" s="62" customFormat="1" x14ac:dyDescent="0.25">
      <c r="A17" s="38"/>
      <c r="B17" s="25"/>
      <c r="C17" s="49"/>
      <c r="D17" s="25"/>
      <c r="E17" s="25"/>
      <c r="F17" s="25"/>
      <c r="G17" s="49"/>
      <c r="H17" s="25"/>
      <c r="I17" s="25"/>
      <c r="J17" s="25"/>
      <c r="K17" s="49"/>
      <c r="L17" s="25"/>
      <c r="M17" s="25"/>
      <c r="N17" s="25"/>
      <c r="O17" s="49"/>
      <c r="P17" s="25"/>
      <c r="Q17" s="25"/>
      <c r="R17" s="25"/>
      <c r="S17" s="49"/>
      <c r="T17" s="25"/>
      <c r="U17" s="25"/>
      <c r="V17" s="25"/>
      <c r="W17" s="49"/>
      <c r="X17" s="25"/>
      <c r="Y17" s="25"/>
      <c r="Z17" s="25"/>
      <c r="AA17" s="49"/>
      <c r="AB17" s="25"/>
      <c r="AC17" s="25"/>
      <c r="AD17" s="25"/>
      <c r="AE17" s="49"/>
      <c r="AF17" s="25"/>
      <c r="AG17" s="25"/>
      <c r="AH17" s="25"/>
      <c r="AI17" s="49"/>
      <c r="AJ17" s="25"/>
      <c r="AK17" s="25"/>
      <c r="AL17" s="25"/>
      <c r="AM17" s="49"/>
      <c r="AN17" s="25"/>
      <c r="AO17" s="25"/>
      <c r="AP17" s="25"/>
      <c r="AQ17" s="49"/>
      <c r="AR17" s="25"/>
      <c r="AS17" s="25"/>
      <c r="AT17" s="25"/>
      <c r="AU17" s="49"/>
      <c r="AV17" s="25"/>
      <c r="AW17" s="25"/>
      <c r="AX17" s="25"/>
      <c r="AY17" s="49"/>
      <c r="AZ17" s="25"/>
      <c r="BA17" s="25"/>
    </row>
    <row r="18" spans="1:53" s="62" customFormat="1" x14ac:dyDescent="0.25">
      <c r="A18" s="31"/>
      <c r="B18"/>
      <c r="C18" s="49"/>
      <c r="D18"/>
      <c r="E18"/>
      <c r="F18"/>
      <c r="G18" s="49"/>
      <c r="H18"/>
      <c r="I18"/>
      <c r="J18"/>
      <c r="K18" s="49"/>
      <c r="L18"/>
      <c r="M18"/>
      <c r="N18"/>
      <c r="O18" s="49"/>
      <c r="P18"/>
      <c r="Q18"/>
      <c r="R18"/>
      <c r="S18" s="49"/>
      <c r="T18"/>
      <c r="U18"/>
      <c r="V18"/>
      <c r="W18" s="49"/>
      <c r="X18"/>
      <c r="Y18"/>
      <c r="Z18"/>
      <c r="AA18" s="49"/>
      <c r="AB18"/>
      <c r="AC18"/>
      <c r="AD18"/>
      <c r="AE18" s="49"/>
      <c r="AF18"/>
      <c r="AG18"/>
      <c r="AH18"/>
      <c r="AI18" s="49"/>
      <c r="AJ18"/>
      <c r="AK18"/>
      <c r="AL18"/>
      <c r="AM18" s="49"/>
      <c r="AN18"/>
      <c r="AO18"/>
      <c r="AP18"/>
      <c r="AQ18" s="49"/>
      <c r="AR18"/>
      <c r="AS18"/>
      <c r="AT18"/>
      <c r="AU18" s="49"/>
      <c r="AV18"/>
      <c r="AW18"/>
      <c r="AX18"/>
      <c r="AY18" s="49"/>
      <c r="AZ18"/>
      <c r="BA18"/>
    </row>
    <row r="19" spans="1:53" s="62" customFormat="1" x14ac:dyDescent="0.25">
      <c r="A19" s="38"/>
      <c r="B19" s="25"/>
      <c r="C19" s="49"/>
      <c r="D19" s="25"/>
      <c r="E19" s="25"/>
      <c r="F19" s="25"/>
      <c r="G19" s="49"/>
      <c r="H19" s="25"/>
      <c r="I19" s="25"/>
      <c r="J19" s="25"/>
      <c r="K19" s="49"/>
      <c r="L19" s="25"/>
      <c r="M19" s="25"/>
      <c r="N19" s="25"/>
      <c r="O19" s="49"/>
      <c r="P19" s="25"/>
      <c r="Q19" s="25"/>
      <c r="R19" s="25"/>
      <c r="S19" s="49"/>
      <c r="T19" s="25"/>
      <c r="U19" s="25"/>
      <c r="V19" s="25"/>
      <c r="W19" s="49"/>
      <c r="X19" s="25"/>
      <c r="Y19" s="25"/>
      <c r="Z19" s="25"/>
      <c r="AA19" s="49"/>
      <c r="AB19" s="25"/>
      <c r="AC19" s="25"/>
      <c r="AD19" s="25"/>
      <c r="AE19" s="49"/>
      <c r="AF19" s="25"/>
      <c r="AG19" s="25"/>
      <c r="AH19" s="25"/>
      <c r="AI19" s="49"/>
      <c r="AJ19" s="25"/>
      <c r="AK19" s="25"/>
      <c r="AL19" s="25"/>
      <c r="AM19" s="49"/>
      <c r="AN19" s="25"/>
      <c r="AO19" s="25"/>
      <c r="AP19" s="25"/>
      <c r="AQ19" s="49"/>
      <c r="AR19" s="25"/>
      <c r="AS19" s="25"/>
      <c r="AT19" s="25"/>
      <c r="AU19" s="49"/>
      <c r="AV19" s="25"/>
      <c r="AW19" s="25"/>
      <c r="AX19" s="25"/>
      <c r="AY19" s="49"/>
      <c r="AZ19" s="25"/>
      <c r="BA19" s="25"/>
    </row>
    <row r="20" spans="1:53" s="62" customFormat="1" x14ac:dyDescent="0.25">
      <c r="A20" s="31"/>
      <c r="B20"/>
      <c r="C20" s="49"/>
      <c r="D20"/>
      <c r="E20"/>
      <c r="F20"/>
      <c r="G20" s="49"/>
      <c r="H20"/>
      <c r="I20"/>
      <c r="J20"/>
      <c r="K20" s="49"/>
      <c r="L20"/>
      <c r="M20"/>
      <c r="N20"/>
      <c r="O20" s="49"/>
      <c r="P20"/>
      <c r="Q20"/>
      <c r="R20"/>
      <c r="S20" s="49"/>
      <c r="T20"/>
      <c r="U20"/>
      <c r="V20"/>
      <c r="W20" s="49"/>
      <c r="X20"/>
      <c r="Y20"/>
      <c r="Z20"/>
      <c r="AA20" s="49"/>
      <c r="AB20"/>
      <c r="AC20"/>
      <c r="AD20"/>
      <c r="AE20" s="49"/>
      <c r="AF20"/>
      <c r="AG20"/>
      <c r="AH20"/>
      <c r="AI20" s="49"/>
      <c r="AJ20"/>
      <c r="AK20"/>
      <c r="AL20"/>
      <c r="AM20" s="49"/>
      <c r="AN20"/>
      <c r="AO20"/>
      <c r="AP20"/>
      <c r="AQ20" s="49"/>
      <c r="AR20"/>
      <c r="AS20"/>
      <c r="AT20"/>
      <c r="AU20" s="49"/>
      <c r="AV20"/>
      <c r="AW20"/>
      <c r="AX20"/>
      <c r="AY20" s="49"/>
      <c r="AZ20"/>
      <c r="BA20"/>
    </row>
    <row r="21" spans="1:53" s="62" customFormat="1" x14ac:dyDescent="0.25">
      <c r="A21" s="38"/>
      <c r="B21" s="25"/>
      <c r="C21" s="49"/>
      <c r="D21" s="25"/>
      <c r="E21" s="25"/>
      <c r="F21" s="25"/>
      <c r="G21" s="49"/>
      <c r="H21" s="25"/>
      <c r="I21" s="25"/>
      <c r="J21" s="25"/>
      <c r="K21" s="49"/>
      <c r="L21" s="25"/>
      <c r="M21" s="25"/>
      <c r="N21" s="25"/>
      <c r="O21" s="49"/>
      <c r="P21" s="25"/>
      <c r="Q21" s="25"/>
      <c r="R21" s="25"/>
      <c r="S21" s="49"/>
      <c r="T21" s="25"/>
      <c r="U21" s="25"/>
      <c r="V21" s="25"/>
      <c r="W21" s="49"/>
      <c r="X21" s="25"/>
      <c r="Y21" s="25"/>
      <c r="Z21" s="25"/>
      <c r="AA21" s="49"/>
      <c r="AB21" s="25"/>
      <c r="AC21" s="25"/>
      <c r="AD21" s="25"/>
      <c r="AE21" s="49"/>
      <c r="AF21" s="25"/>
      <c r="AG21" s="25"/>
      <c r="AH21" s="25"/>
      <c r="AI21" s="49"/>
      <c r="AJ21" s="25"/>
      <c r="AK21" s="25"/>
      <c r="AL21" s="25"/>
      <c r="AM21" s="49"/>
      <c r="AN21" s="25"/>
      <c r="AO21" s="25"/>
      <c r="AP21" s="25"/>
      <c r="AQ21" s="49"/>
      <c r="AR21" s="25"/>
      <c r="AS21" s="25"/>
      <c r="AT21" s="25"/>
      <c r="AU21" s="49"/>
      <c r="AV21" s="25"/>
      <c r="AW21" s="25"/>
      <c r="AX21" s="25"/>
      <c r="AY21" s="49"/>
      <c r="AZ21" s="25"/>
      <c r="BA21" s="25"/>
    </row>
    <row r="22" spans="1:53" s="62" customFormat="1" x14ac:dyDescent="0.25">
      <c r="A22" s="31"/>
      <c r="B22"/>
      <c r="C22" s="49"/>
      <c r="D22"/>
      <c r="E22"/>
      <c r="F22"/>
      <c r="G22" s="49"/>
      <c r="H22"/>
      <c r="I22"/>
      <c r="J22"/>
      <c r="K22" s="49"/>
      <c r="L22"/>
      <c r="M22"/>
      <c r="N22"/>
      <c r="O22" s="49"/>
      <c r="P22"/>
      <c r="Q22"/>
      <c r="R22"/>
      <c r="S22" s="49"/>
      <c r="T22"/>
      <c r="U22"/>
      <c r="V22"/>
      <c r="W22" s="49"/>
      <c r="X22"/>
      <c r="Y22"/>
      <c r="Z22"/>
      <c r="AA22" s="49"/>
      <c r="AB22"/>
      <c r="AC22"/>
      <c r="AD22"/>
      <c r="AE22" s="49"/>
      <c r="AF22"/>
      <c r="AG22"/>
      <c r="AH22"/>
      <c r="AI22" s="49"/>
      <c r="AJ22"/>
      <c r="AK22"/>
      <c r="AL22"/>
      <c r="AM22" s="49"/>
      <c r="AN22"/>
      <c r="AO22"/>
      <c r="AP22"/>
      <c r="AQ22" s="49"/>
      <c r="AR22"/>
      <c r="AS22"/>
      <c r="AT22"/>
      <c r="AU22" s="49"/>
      <c r="AV22"/>
      <c r="AW22"/>
      <c r="AX22"/>
      <c r="AY22" s="49"/>
      <c r="AZ22"/>
      <c r="BA22"/>
    </row>
    <row r="23" spans="1:53" s="62" customFormat="1" x14ac:dyDescent="0.25">
      <c r="A23" s="38"/>
      <c r="B23" s="25"/>
      <c r="C23" s="49"/>
      <c r="D23" s="25"/>
      <c r="E23" s="25"/>
      <c r="F23" s="25"/>
      <c r="G23" s="49"/>
      <c r="H23" s="25"/>
      <c r="I23" s="25"/>
      <c r="J23" s="25"/>
      <c r="K23" s="49"/>
      <c r="L23" s="25"/>
      <c r="M23" s="25"/>
      <c r="N23" s="25"/>
      <c r="O23" s="49"/>
      <c r="P23" s="25"/>
      <c r="Q23" s="25"/>
      <c r="R23" s="25"/>
      <c r="S23" s="49"/>
      <c r="T23" s="25"/>
      <c r="U23" s="25"/>
      <c r="V23" s="25"/>
      <c r="W23" s="49"/>
      <c r="X23" s="25"/>
      <c r="Y23" s="25"/>
      <c r="Z23" s="25"/>
      <c r="AA23" s="49"/>
      <c r="AB23" s="25"/>
      <c r="AC23" s="25"/>
      <c r="AD23" s="25"/>
      <c r="AE23" s="49"/>
      <c r="AF23" s="25"/>
      <c r="AG23" s="25"/>
      <c r="AH23" s="25"/>
      <c r="AI23" s="49"/>
      <c r="AJ23" s="25"/>
      <c r="AK23" s="25"/>
      <c r="AL23" s="25"/>
      <c r="AM23" s="49"/>
      <c r="AN23" s="25"/>
      <c r="AO23" s="25"/>
      <c r="AP23" s="25"/>
      <c r="AQ23" s="49"/>
      <c r="AR23" s="25"/>
      <c r="AS23" s="25"/>
      <c r="AT23" s="25"/>
      <c r="AU23" s="49"/>
      <c r="AV23" s="25"/>
      <c r="AW23" s="25"/>
      <c r="AX23" s="25"/>
      <c r="AY23" s="49"/>
      <c r="AZ23" s="25"/>
      <c r="BA23" s="25"/>
    </row>
    <row r="24" spans="1:53" s="62" customFormat="1" x14ac:dyDescent="0.25">
      <c r="A24" s="31"/>
      <c r="B24"/>
      <c r="C24" s="49"/>
      <c r="D24"/>
      <c r="E24"/>
      <c r="F24"/>
      <c r="G24" s="49"/>
      <c r="H24"/>
      <c r="I24"/>
      <c r="J24"/>
      <c r="K24" s="49"/>
      <c r="L24"/>
      <c r="M24"/>
      <c r="N24"/>
      <c r="O24" s="49"/>
      <c r="P24"/>
      <c r="Q24"/>
      <c r="R24"/>
      <c r="S24" s="49"/>
      <c r="T24"/>
      <c r="U24"/>
      <c r="V24"/>
      <c r="W24" s="49"/>
      <c r="X24"/>
      <c r="Y24"/>
      <c r="Z24"/>
      <c r="AA24" s="49"/>
      <c r="AB24"/>
      <c r="AC24"/>
      <c r="AD24"/>
      <c r="AE24" s="49"/>
      <c r="AF24"/>
      <c r="AG24"/>
      <c r="AH24"/>
      <c r="AI24" s="49"/>
      <c r="AJ24"/>
      <c r="AK24"/>
      <c r="AL24"/>
      <c r="AM24" s="49"/>
      <c r="AN24"/>
      <c r="AO24"/>
      <c r="AP24"/>
      <c r="AQ24" s="49"/>
      <c r="AR24"/>
      <c r="AS24"/>
      <c r="AT24"/>
      <c r="AU24" s="49"/>
      <c r="AV24"/>
      <c r="AW24"/>
      <c r="AX24"/>
      <c r="AY24" s="49"/>
      <c r="AZ24"/>
      <c r="BA24"/>
    </row>
    <row r="25" spans="1:53" s="62" customFormat="1" x14ac:dyDescent="0.25">
      <c r="A25" s="38"/>
      <c r="B25" s="25"/>
      <c r="C25" s="49"/>
      <c r="D25" s="25"/>
      <c r="E25" s="25"/>
      <c r="F25" s="25"/>
      <c r="G25" s="49"/>
      <c r="H25" s="25"/>
      <c r="I25" s="25"/>
      <c r="J25" s="25"/>
      <c r="K25" s="49"/>
      <c r="L25" s="25"/>
      <c r="M25" s="25"/>
      <c r="N25" s="25"/>
      <c r="O25" s="49"/>
      <c r="P25" s="25"/>
      <c r="Q25" s="25"/>
      <c r="R25" s="25"/>
      <c r="S25" s="49"/>
      <c r="T25" s="25"/>
      <c r="U25" s="25"/>
      <c r="V25" s="25"/>
      <c r="W25" s="49"/>
      <c r="X25" s="25"/>
      <c r="Y25" s="25"/>
      <c r="Z25" s="25"/>
      <c r="AA25" s="49"/>
      <c r="AB25" s="25"/>
      <c r="AC25" s="25"/>
      <c r="AD25" s="25"/>
      <c r="AE25" s="49"/>
      <c r="AF25" s="25"/>
      <c r="AG25" s="25"/>
      <c r="AH25" s="25"/>
      <c r="AI25" s="49"/>
      <c r="AJ25" s="25"/>
      <c r="AK25" s="25"/>
      <c r="AL25" s="25"/>
      <c r="AM25" s="49"/>
      <c r="AN25" s="25"/>
      <c r="AO25" s="25"/>
      <c r="AP25" s="25"/>
      <c r="AQ25" s="49"/>
      <c r="AR25" s="25"/>
      <c r="AS25" s="25"/>
      <c r="AT25" s="25"/>
      <c r="AU25" s="49"/>
      <c r="AV25" s="25"/>
      <c r="AW25" s="25"/>
      <c r="AX25" s="25"/>
      <c r="AY25" s="49"/>
      <c r="AZ25" s="25"/>
      <c r="BA25" s="25"/>
    </row>
    <row r="26" spans="1:53" s="62" customFormat="1" x14ac:dyDescent="0.25">
      <c r="A26" s="31"/>
      <c r="B26"/>
      <c r="C26" s="49"/>
      <c r="D26"/>
      <c r="E26"/>
      <c r="F26"/>
      <c r="G26" s="49"/>
      <c r="H26"/>
      <c r="I26"/>
      <c r="J26"/>
      <c r="K26" s="49"/>
      <c r="L26"/>
      <c r="M26"/>
      <c r="N26"/>
      <c r="O26" s="49"/>
      <c r="P26"/>
      <c r="Q26"/>
      <c r="R26"/>
      <c r="S26" s="49"/>
      <c r="T26"/>
      <c r="U26"/>
      <c r="V26"/>
      <c r="W26" s="49"/>
      <c r="X26"/>
      <c r="Y26"/>
      <c r="Z26"/>
      <c r="AA26" s="49"/>
      <c r="AB26"/>
      <c r="AC26"/>
      <c r="AD26"/>
      <c r="AE26" s="49"/>
      <c r="AF26"/>
      <c r="AG26"/>
      <c r="AH26"/>
      <c r="AI26" s="49"/>
      <c r="AJ26"/>
      <c r="AK26"/>
      <c r="AL26"/>
      <c r="AM26" s="49"/>
      <c r="AN26"/>
      <c r="AO26"/>
      <c r="AP26"/>
      <c r="AQ26" s="49"/>
      <c r="AR26"/>
      <c r="AS26"/>
      <c r="AT26"/>
      <c r="AU26" s="49"/>
      <c r="AV26"/>
      <c r="AW26"/>
      <c r="AX26"/>
      <c r="AY26" s="49"/>
      <c r="AZ26"/>
      <c r="BA26"/>
    </row>
    <row r="27" spans="1:53" s="62" customFormat="1" x14ac:dyDescent="0.25">
      <c r="A27" s="38"/>
      <c r="B27" s="25"/>
      <c r="C27" s="49"/>
      <c r="D27" s="25"/>
      <c r="E27" s="25"/>
      <c r="F27" s="25"/>
      <c r="G27" s="49"/>
      <c r="H27" s="25"/>
      <c r="I27" s="25"/>
      <c r="J27" s="25"/>
      <c r="K27" s="49"/>
      <c r="L27" s="25"/>
      <c r="M27" s="25"/>
      <c r="N27" s="25"/>
      <c r="O27" s="49"/>
      <c r="P27" s="25"/>
      <c r="Q27" s="25"/>
      <c r="R27" s="25"/>
      <c r="S27" s="49"/>
      <c r="T27" s="25"/>
      <c r="U27" s="25"/>
      <c r="V27" s="25"/>
      <c r="W27" s="49"/>
      <c r="X27" s="25"/>
      <c r="Y27" s="25"/>
      <c r="Z27" s="25"/>
      <c r="AA27" s="49"/>
      <c r="AB27" s="25"/>
      <c r="AC27" s="25"/>
      <c r="AD27" s="25"/>
      <c r="AE27" s="49"/>
      <c r="AF27" s="25"/>
      <c r="AG27" s="25"/>
      <c r="AH27" s="25"/>
      <c r="AI27" s="49"/>
      <c r="AJ27" s="25"/>
      <c r="AK27" s="25"/>
      <c r="AL27" s="25"/>
      <c r="AM27" s="49"/>
      <c r="AN27" s="25"/>
      <c r="AO27" s="25"/>
      <c r="AP27" s="25"/>
      <c r="AQ27" s="49"/>
      <c r="AR27" s="25"/>
      <c r="AS27" s="25"/>
      <c r="AT27" s="25"/>
      <c r="AU27" s="49"/>
      <c r="AV27" s="25"/>
      <c r="AW27" s="25"/>
      <c r="AX27" s="25"/>
      <c r="AY27" s="49"/>
      <c r="AZ27" s="25"/>
      <c r="BA27" s="25"/>
    </row>
    <row r="28" spans="1:53" s="62" customFormat="1" x14ac:dyDescent="0.25">
      <c r="A28" s="47"/>
      <c r="B28"/>
      <c r="C28" s="49"/>
      <c r="D28"/>
      <c r="E28"/>
      <c r="F28"/>
      <c r="G28" s="49"/>
      <c r="H28"/>
      <c r="I28"/>
      <c r="J28"/>
      <c r="K28" s="49"/>
      <c r="L28"/>
      <c r="M28"/>
      <c r="N28"/>
      <c r="O28" s="49"/>
      <c r="P28"/>
      <c r="Q28"/>
      <c r="R28"/>
      <c r="S28" s="49"/>
      <c r="T28"/>
      <c r="U28"/>
      <c r="V28"/>
      <c r="W28" s="49"/>
      <c r="X28"/>
      <c r="Y28"/>
      <c r="Z28"/>
      <c r="AA28" s="49"/>
      <c r="AB28"/>
      <c r="AC28"/>
      <c r="AD28"/>
      <c r="AE28" s="49"/>
      <c r="AF28"/>
      <c r="AG28"/>
      <c r="AH28"/>
      <c r="AI28" s="49"/>
      <c r="AJ28"/>
      <c r="AK28"/>
      <c r="AL28"/>
      <c r="AM28" s="49"/>
      <c r="AN28"/>
      <c r="AO28"/>
      <c r="AP28"/>
      <c r="AQ28" s="49"/>
      <c r="AR28"/>
      <c r="AS28"/>
      <c r="AT28"/>
      <c r="AU28" s="49"/>
      <c r="AV28"/>
      <c r="AW28"/>
      <c r="AX28"/>
      <c r="AY28" s="49"/>
      <c r="AZ28"/>
      <c r="BA28"/>
    </row>
    <row r="29" spans="1:53" s="62" customFormat="1" x14ac:dyDescent="0.25">
      <c r="A29" s="38"/>
      <c r="B29" s="25"/>
      <c r="C29" s="49"/>
      <c r="D29" s="25"/>
      <c r="E29" s="25"/>
      <c r="F29" s="25"/>
      <c r="G29" s="49"/>
      <c r="H29" s="25"/>
      <c r="I29" s="25"/>
      <c r="J29" s="25"/>
      <c r="K29" s="49"/>
      <c r="L29" s="25"/>
      <c r="M29" s="25"/>
      <c r="N29" s="25"/>
      <c r="O29" s="49"/>
      <c r="P29" s="25"/>
      <c r="Q29" s="25"/>
      <c r="R29" s="25"/>
      <c r="S29" s="49"/>
      <c r="T29" s="25"/>
      <c r="U29" s="25"/>
      <c r="V29" s="25"/>
      <c r="W29" s="49"/>
      <c r="X29" s="25"/>
      <c r="Y29" s="25"/>
      <c r="Z29" s="25"/>
      <c r="AA29" s="49"/>
      <c r="AB29" s="25"/>
      <c r="AC29" s="25"/>
      <c r="AD29" s="25"/>
      <c r="AE29" s="49"/>
      <c r="AF29" s="25"/>
      <c r="AG29" s="25"/>
      <c r="AH29" s="25"/>
      <c r="AI29" s="49"/>
      <c r="AJ29" s="25"/>
      <c r="AK29" s="25"/>
      <c r="AL29" s="25"/>
      <c r="AM29" s="49"/>
      <c r="AN29" s="25"/>
      <c r="AO29" s="25"/>
      <c r="AP29" s="25"/>
      <c r="AQ29" s="49"/>
      <c r="AR29" s="25"/>
      <c r="AS29" s="25"/>
      <c r="AT29" s="25"/>
      <c r="AU29" s="49"/>
      <c r="AV29" s="25"/>
      <c r="AW29" s="25"/>
      <c r="AX29" s="25"/>
      <c r="AY29" s="49"/>
      <c r="AZ29" s="25"/>
      <c r="BA29" s="25"/>
    </row>
    <row r="30" spans="1:53" s="62" customFormat="1" x14ac:dyDescent="0.25">
      <c r="A30" s="31"/>
      <c r="B30"/>
      <c r="C30" s="49"/>
      <c r="D30"/>
      <c r="E30"/>
      <c r="F30"/>
      <c r="G30" s="49"/>
      <c r="H30"/>
      <c r="I30"/>
      <c r="J30"/>
      <c r="K30" s="49"/>
      <c r="L30"/>
      <c r="M30"/>
      <c r="N30"/>
      <c r="O30" s="49"/>
      <c r="P30"/>
      <c r="Q30"/>
      <c r="R30"/>
      <c r="S30" s="49"/>
      <c r="T30"/>
      <c r="U30"/>
      <c r="V30"/>
      <c r="W30" s="49"/>
      <c r="X30"/>
      <c r="Y30"/>
      <c r="Z30"/>
      <c r="AA30" s="49"/>
      <c r="AB30"/>
      <c r="AC30"/>
      <c r="AD30"/>
      <c r="AE30" s="49"/>
      <c r="AF30"/>
      <c r="AG30"/>
      <c r="AH30"/>
      <c r="AI30" s="49"/>
      <c r="AJ30"/>
      <c r="AK30"/>
      <c r="AL30"/>
      <c r="AM30" s="49"/>
      <c r="AN30"/>
      <c r="AO30"/>
      <c r="AP30"/>
      <c r="AQ30" s="49"/>
      <c r="AR30"/>
      <c r="AS30"/>
      <c r="AT30"/>
      <c r="AU30" s="49"/>
      <c r="AV30"/>
      <c r="AW30"/>
      <c r="AX30"/>
      <c r="AY30" s="49"/>
      <c r="AZ30"/>
      <c r="BA30"/>
    </row>
    <row r="31" spans="1:53" s="62" customFormat="1" x14ac:dyDescent="0.25">
      <c r="A31" s="38"/>
      <c r="B31" s="25"/>
      <c r="C31" s="49"/>
      <c r="D31" s="25"/>
      <c r="E31" s="25"/>
      <c r="F31" s="25"/>
      <c r="G31" s="49"/>
      <c r="H31" s="25"/>
      <c r="I31" s="25"/>
      <c r="J31" s="25"/>
      <c r="K31" s="49"/>
      <c r="L31" s="25"/>
      <c r="M31" s="25"/>
      <c r="N31" s="25"/>
      <c r="O31" s="49"/>
      <c r="P31" s="25"/>
      <c r="Q31" s="25"/>
      <c r="R31" s="25"/>
      <c r="S31" s="49"/>
      <c r="T31" s="25"/>
      <c r="U31" s="25"/>
      <c r="V31" s="25"/>
      <c r="W31" s="49"/>
      <c r="X31" s="25"/>
      <c r="Y31" s="25"/>
      <c r="Z31" s="25"/>
      <c r="AA31" s="49"/>
      <c r="AB31" s="25"/>
      <c r="AC31" s="25"/>
      <c r="AD31" s="25"/>
      <c r="AE31" s="49"/>
      <c r="AF31" s="25"/>
      <c r="AG31" s="25"/>
      <c r="AH31" s="25"/>
      <c r="AI31" s="49"/>
      <c r="AJ31" s="25"/>
      <c r="AK31" s="25"/>
      <c r="AL31" s="25"/>
      <c r="AM31" s="49"/>
      <c r="AN31" s="25"/>
      <c r="AO31" s="25"/>
      <c r="AP31" s="25"/>
      <c r="AQ31" s="49"/>
      <c r="AR31" s="25"/>
      <c r="AS31" s="25"/>
      <c r="AT31" s="25"/>
      <c r="AU31" s="49"/>
      <c r="AV31" s="25"/>
      <c r="AW31" s="25"/>
      <c r="AX31" s="25"/>
      <c r="AY31" s="49"/>
      <c r="AZ31" s="25"/>
      <c r="BA31" s="25"/>
    </row>
    <row r="32" spans="1:53" s="62" customFormat="1" x14ac:dyDescent="0.25">
      <c r="A32" s="31"/>
      <c r="B32"/>
      <c r="C32" s="49"/>
      <c r="D32"/>
      <c r="E32"/>
      <c r="F32"/>
      <c r="G32" s="49"/>
      <c r="H32"/>
      <c r="I32"/>
      <c r="J32"/>
      <c r="K32" s="49"/>
      <c r="L32"/>
      <c r="M32"/>
      <c r="N32"/>
      <c r="O32" s="49"/>
      <c r="P32"/>
      <c r="Q32"/>
      <c r="R32"/>
      <c r="S32" s="49"/>
      <c r="T32"/>
      <c r="U32"/>
      <c r="V32"/>
      <c r="W32" s="49"/>
      <c r="X32"/>
      <c r="Y32"/>
      <c r="Z32"/>
      <c r="AA32" s="49"/>
      <c r="AB32"/>
      <c r="AC32"/>
      <c r="AD32"/>
      <c r="AE32" s="49"/>
      <c r="AF32"/>
      <c r="AG32"/>
      <c r="AH32"/>
      <c r="AI32" s="49"/>
      <c r="AJ32"/>
      <c r="AK32"/>
      <c r="AL32"/>
      <c r="AM32" s="49"/>
      <c r="AN32"/>
      <c r="AO32"/>
      <c r="AP32"/>
      <c r="AQ32" s="49"/>
      <c r="AR32"/>
      <c r="AS32"/>
      <c r="AT32"/>
      <c r="AU32" s="49"/>
      <c r="AV32"/>
      <c r="AW32"/>
      <c r="AX32"/>
      <c r="AY32" s="49"/>
      <c r="AZ32"/>
      <c r="BA32"/>
    </row>
    <row r="33" spans="1:53" s="62" customFormat="1" x14ac:dyDescent="0.25">
      <c r="A33" s="38"/>
      <c r="B33" s="25"/>
      <c r="C33" s="49"/>
      <c r="D33" s="25"/>
      <c r="E33" s="25"/>
      <c r="F33" s="25"/>
      <c r="G33" s="49"/>
      <c r="H33" s="25"/>
      <c r="I33" s="25"/>
      <c r="J33" s="25"/>
      <c r="K33" s="49"/>
      <c r="L33" s="25"/>
      <c r="M33" s="25"/>
      <c r="N33" s="25"/>
      <c r="O33" s="49"/>
      <c r="P33" s="25"/>
      <c r="Q33" s="25"/>
      <c r="R33" s="25"/>
      <c r="S33" s="49"/>
      <c r="T33" s="25"/>
      <c r="U33" s="25"/>
      <c r="V33" s="25"/>
      <c r="W33" s="49"/>
      <c r="X33" s="25"/>
      <c r="Y33" s="25"/>
      <c r="Z33" s="25"/>
      <c r="AA33" s="49"/>
      <c r="AB33" s="25"/>
      <c r="AC33" s="25"/>
      <c r="AD33" s="25"/>
      <c r="AE33" s="49"/>
      <c r="AF33" s="25"/>
      <c r="AG33" s="25"/>
      <c r="AH33" s="25"/>
      <c r="AI33" s="49"/>
      <c r="AJ33" s="25"/>
      <c r="AK33" s="25"/>
      <c r="AL33" s="25"/>
      <c r="AM33" s="49"/>
      <c r="AN33" s="25"/>
      <c r="AO33" s="25"/>
      <c r="AP33" s="25"/>
      <c r="AQ33" s="49"/>
      <c r="AR33" s="25"/>
      <c r="AS33" s="25"/>
      <c r="AT33" s="25"/>
      <c r="AU33" s="49"/>
      <c r="AV33" s="25"/>
      <c r="AW33" s="25"/>
      <c r="AX33" s="25"/>
      <c r="AY33" s="49"/>
      <c r="AZ33" s="25"/>
      <c r="BA33" s="25"/>
    </row>
    <row r="34" spans="1:53" s="62" customFormat="1" x14ac:dyDescent="0.25">
      <c r="A34" s="31"/>
      <c r="B34"/>
      <c r="C34" s="49"/>
      <c r="D34"/>
      <c r="E34"/>
      <c r="F34"/>
      <c r="G34" s="49"/>
      <c r="H34"/>
      <c r="I34"/>
      <c r="J34"/>
      <c r="K34" s="49"/>
      <c r="L34"/>
      <c r="M34"/>
      <c r="N34"/>
      <c r="O34" s="49"/>
      <c r="P34"/>
      <c r="Q34"/>
      <c r="R34"/>
      <c r="S34" s="49"/>
      <c r="T34"/>
      <c r="U34"/>
      <c r="V34"/>
      <c r="W34" s="49"/>
      <c r="X34"/>
      <c r="Y34"/>
      <c r="Z34"/>
      <c r="AA34" s="49"/>
      <c r="AB34"/>
      <c r="AC34"/>
      <c r="AD34"/>
      <c r="AE34" s="49"/>
      <c r="AF34"/>
      <c r="AG34"/>
      <c r="AH34"/>
      <c r="AI34" s="49"/>
      <c r="AJ34"/>
      <c r="AK34"/>
      <c r="AL34"/>
      <c r="AM34" s="49"/>
      <c r="AN34"/>
      <c r="AO34"/>
      <c r="AP34"/>
      <c r="AQ34" s="49"/>
      <c r="AR34"/>
      <c r="AS34"/>
      <c r="AT34"/>
      <c r="AU34" s="49"/>
      <c r="AV34"/>
      <c r="AW34"/>
      <c r="AX34"/>
      <c r="AY34" s="49"/>
      <c r="AZ34"/>
      <c r="BA34"/>
    </row>
    <row r="35" spans="1:53" s="62" customFormat="1" x14ac:dyDescent="0.25">
      <c r="A35" s="38"/>
      <c r="B35" s="25"/>
      <c r="C35" s="49"/>
      <c r="D35" s="25"/>
      <c r="E35" s="25"/>
      <c r="F35" s="25"/>
      <c r="G35" s="49"/>
      <c r="H35" s="25"/>
      <c r="I35" s="25"/>
      <c r="J35" s="25"/>
      <c r="K35" s="49"/>
      <c r="L35" s="25"/>
      <c r="M35" s="25"/>
      <c r="N35" s="25"/>
      <c r="O35" s="49"/>
      <c r="P35" s="25"/>
      <c r="Q35" s="25"/>
      <c r="R35" s="25"/>
      <c r="S35" s="49"/>
      <c r="T35" s="25"/>
      <c r="U35" s="25"/>
      <c r="V35" s="25"/>
      <c r="W35" s="49"/>
      <c r="X35" s="25"/>
      <c r="Y35" s="25"/>
      <c r="Z35" s="25"/>
      <c r="AA35" s="49"/>
      <c r="AB35" s="25"/>
      <c r="AC35" s="25"/>
      <c r="AD35" s="25"/>
      <c r="AE35" s="49"/>
      <c r="AF35" s="25"/>
      <c r="AG35" s="25"/>
      <c r="AH35" s="25"/>
      <c r="AI35" s="49"/>
      <c r="AJ35" s="25"/>
      <c r="AK35" s="25"/>
      <c r="AL35" s="25"/>
      <c r="AM35" s="49"/>
      <c r="AN35" s="25"/>
      <c r="AO35" s="25"/>
      <c r="AP35" s="25"/>
      <c r="AQ35" s="49"/>
      <c r="AR35" s="25"/>
      <c r="AS35" s="25"/>
      <c r="AT35" s="25"/>
      <c r="AU35" s="49"/>
      <c r="AV35" s="25"/>
      <c r="AW35" s="25"/>
      <c r="AX35" s="25"/>
      <c r="AY35" s="49"/>
      <c r="AZ35" s="25"/>
      <c r="BA35" s="25"/>
    </row>
    <row r="36" spans="1:53" s="62" customFormat="1" x14ac:dyDescent="0.25">
      <c r="A36" s="31"/>
      <c r="B36"/>
      <c r="C36" s="49"/>
      <c r="D36"/>
      <c r="E36"/>
      <c r="F36"/>
      <c r="G36" s="49"/>
      <c r="H36"/>
      <c r="I36"/>
      <c r="J36"/>
      <c r="K36" s="49"/>
      <c r="L36"/>
      <c r="M36"/>
      <c r="N36"/>
      <c r="O36" s="49"/>
      <c r="P36"/>
      <c r="Q36"/>
      <c r="R36"/>
      <c r="S36" s="49"/>
      <c r="T36"/>
      <c r="U36"/>
      <c r="V36"/>
      <c r="W36" s="49"/>
      <c r="X36"/>
      <c r="Y36"/>
      <c r="Z36"/>
      <c r="AA36" s="49"/>
      <c r="AB36"/>
      <c r="AC36"/>
      <c r="AD36"/>
      <c r="AE36" s="49"/>
      <c r="AF36"/>
      <c r="AG36"/>
      <c r="AH36"/>
      <c r="AI36" s="49"/>
      <c r="AJ36"/>
      <c r="AK36"/>
      <c r="AL36"/>
      <c r="AM36" s="49"/>
      <c r="AN36"/>
      <c r="AO36"/>
      <c r="AP36"/>
      <c r="AQ36" s="49"/>
      <c r="AR36"/>
      <c r="AS36"/>
      <c r="AT36"/>
      <c r="AU36" s="49"/>
      <c r="AV36"/>
      <c r="AW36"/>
      <c r="AX36"/>
      <c r="AY36" s="49"/>
      <c r="AZ36"/>
      <c r="BA36"/>
    </row>
    <row r="37" spans="1:53" s="62" customFormat="1" x14ac:dyDescent="0.25">
      <c r="A37" s="38"/>
      <c r="B37" s="25"/>
      <c r="C37" s="49"/>
      <c r="D37" s="25"/>
      <c r="E37" s="25"/>
      <c r="F37" s="25"/>
      <c r="G37" s="49"/>
      <c r="H37" s="25"/>
      <c r="I37" s="25"/>
      <c r="J37" s="25"/>
      <c r="K37" s="49"/>
      <c r="L37" s="25"/>
      <c r="M37" s="25"/>
      <c r="N37" s="25"/>
      <c r="O37" s="49"/>
      <c r="P37" s="25"/>
      <c r="Q37" s="25"/>
      <c r="R37" s="25"/>
      <c r="S37" s="49"/>
      <c r="T37" s="25"/>
      <c r="U37" s="25"/>
      <c r="V37" s="25"/>
      <c r="W37" s="49"/>
      <c r="X37" s="25"/>
      <c r="Y37" s="25"/>
      <c r="Z37" s="25"/>
      <c r="AA37" s="49"/>
      <c r="AB37" s="25"/>
      <c r="AC37" s="25"/>
      <c r="AD37" s="25"/>
      <c r="AE37" s="49"/>
      <c r="AF37" s="25"/>
      <c r="AG37" s="25"/>
      <c r="AH37" s="25"/>
      <c r="AI37" s="49"/>
      <c r="AJ37" s="25"/>
      <c r="AK37" s="25"/>
      <c r="AL37" s="25"/>
      <c r="AM37" s="49"/>
      <c r="AN37" s="25"/>
      <c r="AO37" s="25"/>
      <c r="AP37" s="25"/>
      <c r="AQ37" s="49"/>
      <c r="AR37" s="25"/>
      <c r="AS37" s="25"/>
      <c r="AT37" s="25"/>
      <c r="AU37" s="49"/>
      <c r="AV37" s="25"/>
      <c r="AW37" s="25"/>
      <c r="AX37" s="25"/>
      <c r="AY37" s="49"/>
      <c r="AZ37" s="25"/>
      <c r="BA37" s="25"/>
    </row>
    <row r="38" spans="1:53" s="62" customFormat="1" x14ac:dyDescent="0.25">
      <c r="A38" s="31"/>
      <c r="B38"/>
      <c r="C38" s="49"/>
      <c r="D38"/>
      <c r="E38"/>
      <c r="F38"/>
      <c r="G38" s="49"/>
      <c r="H38"/>
      <c r="I38"/>
      <c r="J38"/>
      <c r="K38" s="49"/>
      <c r="L38"/>
      <c r="M38"/>
      <c r="N38"/>
      <c r="O38" s="49"/>
      <c r="P38"/>
      <c r="Q38"/>
      <c r="R38"/>
      <c r="S38" s="49"/>
      <c r="T38"/>
      <c r="U38"/>
      <c r="V38"/>
      <c r="W38" s="49"/>
      <c r="X38"/>
      <c r="Y38"/>
      <c r="Z38"/>
      <c r="AA38" s="49"/>
      <c r="AB38"/>
      <c r="AC38"/>
      <c r="AD38"/>
      <c r="AE38" s="49"/>
      <c r="AF38"/>
      <c r="AG38"/>
      <c r="AH38"/>
      <c r="AI38" s="49"/>
      <c r="AJ38"/>
      <c r="AK38"/>
      <c r="AL38"/>
      <c r="AM38" s="49"/>
      <c r="AN38"/>
      <c r="AO38"/>
      <c r="AP38"/>
      <c r="AQ38" s="49"/>
      <c r="AR38"/>
      <c r="AS38"/>
      <c r="AT38"/>
      <c r="AU38" s="49"/>
      <c r="AV38"/>
      <c r="AW38"/>
      <c r="AX38"/>
      <c r="AY38" s="49"/>
      <c r="AZ38"/>
      <c r="BA38"/>
    </row>
    <row r="39" spans="1:53" s="62" customFormat="1" x14ac:dyDescent="0.25">
      <c r="A39" s="38"/>
      <c r="B39" s="25"/>
      <c r="C39" s="49"/>
      <c r="D39" s="25"/>
      <c r="E39" s="25"/>
      <c r="F39" s="25"/>
      <c r="G39" s="49"/>
      <c r="H39" s="25"/>
      <c r="I39" s="25"/>
      <c r="J39" s="25"/>
      <c r="K39" s="49"/>
      <c r="L39" s="25"/>
      <c r="M39" s="25"/>
      <c r="N39" s="25"/>
      <c r="O39" s="49"/>
      <c r="P39" s="25"/>
      <c r="Q39" s="25"/>
      <c r="R39" s="25"/>
      <c r="S39" s="49"/>
      <c r="T39" s="25"/>
      <c r="U39" s="25"/>
      <c r="V39" s="25"/>
      <c r="W39" s="49"/>
      <c r="X39" s="25"/>
      <c r="Y39" s="25"/>
      <c r="Z39" s="25"/>
      <c r="AA39" s="49"/>
      <c r="AB39" s="25"/>
      <c r="AC39" s="25"/>
      <c r="AD39" s="25"/>
      <c r="AE39" s="49"/>
      <c r="AF39" s="25"/>
      <c r="AG39" s="25"/>
      <c r="AH39" s="25"/>
      <c r="AI39" s="49"/>
      <c r="AJ39" s="25"/>
      <c r="AK39" s="25"/>
      <c r="AL39" s="25"/>
      <c r="AM39" s="49"/>
      <c r="AN39" s="25"/>
      <c r="AO39" s="25"/>
      <c r="AP39" s="25"/>
      <c r="AQ39" s="49"/>
      <c r="AR39" s="25"/>
      <c r="AS39" s="25"/>
      <c r="AT39" s="25"/>
      <c r="AU39" s="49"/>
      <c r="AV39" s="25"/>
      <c r="AW39" s="25"/>
      <c r="AX39" s="25"/>
      <c r="AY39" s="49"/>
      <c r="AZ39" s="25"/>
      <c r="BA39" s="25"/>
    </row>
    <row r="40" spans="1:53" s="62" customFormat="1" x14ac:dyDescent="0.25">
      <c r="A40" s="31"/>
      <c r="B40"/>
      <c r="C40" s="49"/>
      <c r="D40"/>
      <c r="E40"/>
      <c r="F40"/>
      <c r="G40" s="49"/>
      <c r="H40"/>
      <c r="I40"/>
      <c r="J40"/>
      <c r="K40" s="49"/>
      <c r="L40"/>
      <c r="M40"/>
      <c r="N40"/>
      <c r="O40" s="49"/>
      <c r="P40"/>
      <c r="Q40"/>
      <c r="R40"/>
      <c r="S40" s="49"/>
      <c r="T40"/>
      <c r="U40"/>
      <c r="V40"/>
      <c r="W40" s="49"/>
      <c r="X40"/>
      <c r="Y40"/>
      <c r="Z40"/>
      <c r="AA40" s="49"/>
      <c r="AB40"/>
      <c r="AC40"/>
      <c r="AD40"/>
      <c r="AE40" s="49"/>
      <c r="AF40"/>
      <c r="AG40"/>
      <c r="AH40"/>
      <c r="AI40" s="49"/>
      <c r="AJ40"/>
      <c r="AK40"/>
      <c r="AL40"/>
      <c r="AM40" s="49"/>
      <c r="AN40"/>
      <c r="AO40"/>
      <c r="AP40"/>
      <c r="AQ40" s="49"/>
      <c r="AR40"/>
      <c r="AS40"/>
      <c r="AT40"/>
      <c r="AU40" s="49"/>
      <c r="AV40"/>
      <c r="AW40"/>
      <c r="AX40"/>
      <c r="AY40" s="49"/>
      <c r="AZ40"/>
      <c r="BA40"/>
    </row>
    <row r="41" spans="1:53" s="62" customFormat="1" x14ac:dyDescent="0.25">
      <c r="A41" s="38"/>
      <c r="B41" s="25"/>
      <c r="C41" s="49"/>
      <c r="D41" s="25"/>
      <c r="E41" s="25"/>
      <c r="F41" s="25"/>
      <c r="G41" s="49"/>
      <c r="H41" s="25"/>
      <c r="I41" s="25"/>
      <c r="J41" s="25"/>
      <c r="K41" s="49"/>
      <c r="L41" s="25"/>
      <c r="M41" s="25"/>
      <c r="N41" s="25"/>
      <c r="O41" s="49"/>
      <c r="P41" s="25"/>
      <c r="Q41" s="25"/>
      <c r="R41" s="25"/>
      <c r="S41" s="49"/>
      <c r="T41" s="25"/>
      <c r="U41" s="25"/>
      <c r="V41" s="25"/>
      <c r="W41" s="49"/>
      <c r="X41" s="25"/>
      <c r="Y41" s="25"/>
      <c r="Z41" s="25"/>
      <c r="AA41" s="49"/>
      <c r="AB41" s="25"/>
      <c r="AC41" s="25"/>
      <c r="AD41" s="25"/>
      <c r="AE41" s="49"/>
      <c r="AF41" s="25"/>
      <c r="AG41" s="25"/>
      <c r="AH41" s="25"/>
      <c r="AI41" s="49"/>
      <c r="AJ41" s="25"/>
      <c r="AK41" s="25"/>
      <c r="AL41" s="25"/>
      <c r="AM41" s="49"/>
      <c r="AN41" s="25"/>
      <c r="AO41" s="25"/>
      <c r="AP41" s="25"/>
      <c r="AQ41" s="49"/>
      <c r="AR41" s="25"/>
      <c r="AS41" s="25"/>
      <c r="AT41" s="25"/>
      <c r="AU41" s="49"/>
      <c r="AV41" s="25"/>
      <c r="AW41" s="25"/>
      <c r="AX41" s="25"/>
      <c r="AY41" s="49"/>
      <c r="AZ41" s="25"/>
      <c r="BA41" s="25"/>
    </row>
    <row r="42" spans="1:53" s="62" customFormat="1" x14ac:dyDescent="0.25">
      <c r="A42" s="31"/>
      <c r="B42"/>
      <c r="C42" s="49"/>
      <c r="D42"/>
      <c r="E42"/>
      <c r="F42"/>
      <c r="G42" s="49"/>
      <c r="H42"/>
      <c r="I42"/>
      <c r="J42"/>
      <c r="K42" s="49"/>
      <c r="L42"/>
      <c r="M42"/>
      <c r="N42"/>
      <c r="O42" s="49"/>
      <c r="P42"/>
      <c r="Q42"/>
      <c r="R42"/>
      <c r="S42" s="49"/>
      <c r="T42"/>
      <c r="U42"/>
      <c r="V42"/>
      <c r="W42" s="49"/>
      <c r="X42"/>
      <c r="Y42"/>
      <c r="Z42"/>
      <c r="AA42" s="49"/>
      <c r="AB42"/>
      <c r="AC42"/>
      <c r="AD42"/>
      <c r="AE42" s="49"/>
      <c r="AF42"/>
      <c r="AG42"/>
      <c r="AH42"/>
      <c r="AI42" s="49"/>
      <c r="AJ42"/>
      <c r="AK42"/>
      <c r="AL42"/>
      <c r="AM42" s="49"/>
      <c r="AN42"/>
      <c r="AO42"/>
      <c r="AP42"/>
      <c r="AQ42" s="49"/>
      <c r="AR42"/>
      <c r="AS42"/>
      <c r="AT42"/>
      <c r="AU42" s="49"/>
      <c r="AV42"/>
      <c r="AW42"/>
      <c r="AX42"/>
      <c r="AY42" s="49"/>
      <c r="AZ42"/>
      <c r="BA42"/>
    </row>
    <row r="43" spans="1:53" s="62" customFormat="1" x14ac:dyDescent="0.25">
      <c r="A43" s="38"/>
      <c r="B43" s="25"/>
      <c r="C43" s="49"/>
      <c r="D43" s="25"/>
      <c r="E43" s="25"/>
      <c r="F43" s="25"/>
      <c r="G43" s="49"/>
      <c r="H43" s="25"/>
      <c r="I43" s="25"/>
      <c r="J43" s="25"/>
      <c r="K43" s="49"/>
      <c r="L43" s="25"/>
      <c r="M43" s="25"/>
      <c r="N43" s="25"/>
      <c r="O43" s="49"/>
      <c r="P43" s="25"/>
      <c r="Q43" s="25"/>
      <c r="R43" s="25"/>
      <c r="S43" s="49"/>
      <c r="T43" s="25"/>
      <c r="U43" s="25"/>
      <c r="V43" s="25"/>
      <c r="W43" s="49"/>
      <c r="X43" s="25"/>
      <c r="Y43" s="25"/>
      <c r="Z43" s="25"/>
      <c r="AA43" s="49"/>
      <c r="AB43" s="25"/>
      <c r="AC43" s="25"/>
      <c r="AD43" s="25"/>
      <c r="AE43" s="49"/>
      <c r="AF43" s="25"/>
      <c r="AG43" s="25"/>
      <c r="AH43" s="25"/>
      <c r="AI43" s="49"/>
      <c r="AJ43" s="25"/>
      <c r="AK43" s="25"/>
      <c r="AL43" s="25"/>
      <c r="AM43" s="49"/>
      <c r="AN43" s="25"/>
      <c r="AO43" s="25"/>
      <c r="AP43" s="25"/>
      <c r="AQ43" s="49"/>
      <c r="AR43" s="25"/>
      <c r="AS43" s="25"/>
      <c r="AT43" s="25"/>
      <c r="AU43" s="49"/>
      <c r="AV43" s="25"/>
      <c r="AW43" s="25"/>
      <c r="AX43" s="25"/>
      <c r="AY43" s="49"/>
      <c r="AZ43" s="25"/>
      <c r="BA43" s="25"/>
    </row>
    <row r="44" spans="1:53" s="62" customFormat="1" x14ac:dyDescent="0.25">
      <c r="A44" s="31"/>
      <c r="B44" s="61"/>
      <c r="C44" s="49"/>
      <c r="D44" s="61"/>
      <c r="E44" s="61"/>
      <c r="F44" s="61"/>
      <c r="G44" s="49"/>
      <c r="H44" s="61"/>
      <c r="I44" s="61"/>
      <c r="J44" s="61"/>
      <c r="K44" s="49"/>
      <c r="L44" s="61"/>
      <c r="M44" s="61"/>
      <c r="N44" s="61"/>
      <c r="O44" s="49"/>
      <c r="P44" s="61"/>
      <c r="Q44" s="61"/>
      <c r="R44" s="61"/>
      <c r="S44" s="49"/>
      <c r="T44" s="61"/>
      <c r="U44" s="61"/>
      <c r="V44" s="61"/>
      <c r="W44" s="49"/>
      <c r="X44" s="61"/>
      <c r="Y44" s="61"/>
      <c r="Z44" s="61"/>
      <c r="AA44" s="49"/>
      <c r="AB44" s="61"/>
      <c r="AC44" s="61"/>
      <c r="AD44" s="61"/>
      <c r="AE44" s="49"/>
      <c r="AF44" s="61"/>
      <c r="AG44" s="61"/>
      <c r="AH44" s="61"/>
      <c r="AI44" s="49"/>
      <c r="AJ44" s="61"/>
      <c r="AK44" s="61"/>
      <c r="AL44" s="61"/>
      <c r="AM44" s="49"/>
      <c r="AN44" s="61"/>
      <c r="AO44" s="61"/>
      <c r="AP44" s="61"/>
      <c r="AQ44" s="49"/>
      <c r="AR44" s="61"/>
      <c r="AS44" s="61"/>
      <c r="AT44" s="61"/>
      <c r="AU44" s="49"/>
      <c r="AV44" s="61"/>
      <c r="AW44" s="61"/>
      <c r="AX44" s="61"/>
      <c r="AY44" s="49"/>
      <c r="AZ44" s="61"/>
      <c r="BA44" s="61"/>
    </row>
    <row r="45" spans="1:53" s="62" customFormat="1" x14ac:dyDescent="0.25">
      <c r="A45" s="38"/>
      <c r="B45" s="25"/>
      <c r="C45" s="49"/>
      <c r="D45" s="25"/>
      <c r="E45" s="25"/>
      <c r="F45" s="25"/>
      <c r="G45" s="49"/>
      <c r="H45" s="25"/>
      <c r="I45" s="25"/>
      <c r="J45" s="25"/>
      <c r="K45" s="49"/>
      <c r="L45" s="25"/>
      <c r="M45" s="25"/>
      <c r="N45" s="25"/>
      <c r="O45" s="49"/>
      <c r="P45" s="25"/>
      <c r="Q45" s="25"/>
      <c r="R45" s="25"/>
      <c r="S45" s="49"/>
      <c r="T45" s="25"/>
      <c r="U45" s="25"/>
      <c r="V45" s="25"/>
      <c r="W45" s="49"/>
      <c r="X45" s="25"/>
      <c r="Y45" s="25"/>
      <c r="Z45" s="25"/>
      <c r="AA45" s="49"/>
      <c r="AB45" s="25"/>
      <c r="AC45" s="25"/>
      <c r="AD45" s="25"/>
      <c r="AE45" s="49"/>
      <c r="AF45" s="25"/>
      <c r="AG45" s="25"/>
      <c r="AH45" s="25"/>
      <c r="AI45" s="49"/>
      <c r="AJ45" s="25"/>
      <c r="AK45" s="25"/>
      <c r="AL45" s="25"/>
      <c r="AM45" s="49"/>
      <c r="AN45" s="25"/>
      <c r="AO45" s="25"/>
      <c r="AP45" s="25"/>
      <c r="AQ45" s="49"/>
      <c r="AR45" s="25"/>
      <c r="AS45" s="25"/>
      <c r="AT45" s="25"/>
      <c r="AU45" s="49"/>
      <c r="AV45" s="25"/>
      <c r="AW45" s="25"/>
      <c r="AX45" s="25"/>
      <c r="AY45" s="49"/>
      <c r="AZ45" s="25"/>
      <c r="BA45" s="25"/>
    </row>
    <row r="46" spans="1:53" s="62" customFormat="1" x14ac:dyDescent="0.25">
      <c r="A46" s="47"/>
      <c r="B46" s="61"/>
      <c r="C46" s="49"/>
      <c r="D46" s="61"/>
      <c r="E46" s="61"/>
      <c r="F46" s="61"/>
      <c r="G46" s="49"/>
      <c r="H46" s="61"/>
      <c r="I46" s="61"/>
      <c r="J46" s="61"/>
      <c r="K46" s="49"/>
      <c r="L46" s="61"/>
      <c r="M46" s="61"/>
      <c r="N46" s="61"/>
      <c r="O46" s="49"/>
      <c r="P46" s="61"/>
      <c r="Q46" s="61"/>
      <c r="R46" s="61"/>
      <c r="S46" s="49"/>
      <c r="T46" s="61"/>
      <c r="U46" s="61"/>
      <c r="V46" s="61"/>
      <c r="W46" s="49"/>
      <c r="X46" s="61"/>
      <c r="Y46" s="61"/>
      <c r="Z46" s="61"/>
      <c r="AA46" s="49"/>
      <c r="AB46" s="61"/>
      <c r="AC46" s="61"/>
      <c r="AD46" s="61"/>
      <c r="AE46" s="49"/>
      <c r="AF46" s="61"/>
      <c r="AG46" s="61"/>
      <c r="AH46" s="61"/>
      <c r="AI46" s="49"/>
      <c r="AJ46" s="61"/>
      <c r="AK46" s="61"/>
      <c r="AL46" s="61"/>
      <c r="AM46" s="49"/>
      <c r="AN46" s="61"/>
      <c r="AO46" s="61"/>
      <c r="AP46" s="61"/>
      <c r="AQ46" s="49"/>
      <c r="AR46" s="61"/>
      <c r="AS46" s="61"/>
      <c r="AT46" s="61"/>
      <c r="AU46" s="49"/>
      <c r="AV46" s="61"/>
      <c r="AW46" s="61"/>
      <c r="AX46" s="61"/>
      <c r="AY46" s="49"/>
      <c r="AZ46" s="61"/>
      <c r="BA46" s="61"/>
    </row>
    <row r="47" spans="1:53" s="62" customFormat="1" x14ac:dyDescent="0.25">
      <c r="A47" s="38"/>
      <c r="B47" s="25"/>
      <c r="C47" s="49"/>
      <c r="D47" s="25"/>
      <c r="E47" s="25"/>
      <c r="F47" s="25"/>
      <c r="G47" s="49"/>
      <c r="H47" s="25"/>
      <c r="I47" s="25"/>
      <c r="J47" s="25"/>
      <c r="K47" s="49"/>
      <c r="L47" s="25"/>
      <c r="M47" s="25"/>
      <c r="N47" s="25"/>
      <c r="O47" s="49"/>
      <c r="P47" s="25"/>
      <c r="Q47" s="25"/>
      <c r="R47" s="25"/>
      <c r="S47" s="49"/>
      <c r="T47" s="25"/>
      <c r="U47" s="25"/>
      <c r="V47" s="25"/>
      <c r="W47" s="49"/>
      <c r="X47" s="25"/>
      <c r="Y47" s="25"/>
      <c r="Z47" s="25"/>
      <c r="AA47" s="49"/>
      <c r="AB47" s="25"/>
      <c r="AC47" s="25"/>
      <c r="AD47" s="25"/>
      <c r="AE47" s="49"/>
      <c r="AF47" s="25"/>
      <c r="AG47" s="25"/>
      <c r="AH47" s="25"/>
      <c r="AI47" s="49"/>
      <c r="AJ47" s="25"/>
      <c r="AK47" s="25"/>
      <c r="AL47" s="25"/>
      <c r="AM47" s="49"/>
      <c r="AN47" s="25"/>
      <c r="AO47" s="25"/>
      <c r="AP47" s="25"/>
      <c r="AQ47" s="49"/>
      <c r="AR47" s="25"/>
      <c r="AS47" s="25"/>
      <c r="AT47" s="25"/>
      <c r="AU47" s="49"/>
      <c r="AV47" s="25"/>
      <c r="AW47" s="25"/>
      <c r="AX47" s="25"/>
      <c r="AY47" s="49"/>
      <c r="AZ47" s="25"/>
      <c r="BA47" s="25"/>
    </row>
    <row r="48" spans="1:53" s="62" customFormat="1" x14ac:dyDescent="0.25">
      <c r="A48" s="31"/>
      <c r="B48" s="61"/>
      <c r="C48" s="49"/>
      <c r="D48" s="61"/>
      <c r="E48" s="61"/>
      <c r="F48" s="61"/>
      <c r="G48" s="49"/>
      <c r="H48" s="61"/>
      <c r="I48" s="61"/>
      <c r="J48" s="61"/>
      <c r="K48" s="49"/>
      <c r="L48" s="61"/>
      <c r="M48" s="61"/>
      <c r="N48" s="61"/>
      <c r="O48" s="49"/>
      <c r="P48" s="61"/>
      <c r="Q48" s="61"/>
      <c r="R48" s="61"/>
      <c r="S48" s="49"/>
      <c r="T48" s="61"/>
      <c r="U48" s="61"/>
      <c r="V48" s="61"/>
      <c r="W48" s="49"/>
      <c r="X48" s="61"/>
      <c r="Y48" s="61"/>
      <c r="Z48" s="61"/>
      <c r="AA48" s="49"/>
      <c r="AB48" s="61"/>
      <c r="AC48" s="61"/>
      <c r="AD48" s="61"/>
      <c r="AE48" s="49"/>
      <c r="AF48" s="61"/>
      <c r="AG48" s="61"/>
      <c r="AH48" s="61"/>
      <c r="AI48" s="49"/>
      <c r="AJ48" s="61"/>
      <c r="AK48" s="61"/>
      <c r="AL48" s="61"/>
      <c r="AM48" s="49"/>
      <c r="AN48" s="61"/>
      <c r="AO48" s="61"/>
      <c r="AP48" s="61"/>
      <c r="AQ48" s="49"/>
      <c r="AR48" s="61"/>
      <c r="AS48" s="61"/>
      <c r="AT48" s="61"/>
      <c r="AU48" s="49"/>
      <c r="AV48" s="61"/>
      <c r="AW48" s="61"/>
      <c r="AX48" s="61"/>
      <c r="AY48" s="49"/>
      <c r="AZ48" s="61"/>
      <c r="BA48" s="61"/>
    </row>
    <row r="49" spans="1:53" s="62" customFormat="1" x14ac:dyDescent="0.25">
      <c r="A49" s="38"/>
      <c r="B49" s="25"/>
      <c r="C49" s="49"/>
      <c r="D49" s="25"/>
      <c r="E49" s="25"/>
      <c r="F49" s="25"/>
      <c r="G49" s="49"/>
      <c r="H49" s="25"/>
      <c r="I49" s="25"/>
      <c r="J49" s="25"/>
      <c r="K49" s="49"/>
      <c r="L49" s="25"/>
      <c r="M49" s="25"/>
      <c r="N49" s="25"/>
      <c r="O49" s="49"/>
      <c r="P49" s="25"/>
      <c r="Q49" s="25"/>
      <c r="R49" s="25"/>
      <c r="S49" s="49"/>
      <c r="T49" s="25"/>
      <c r="U49" s="25"/>
      <c r="V49" s="25"/>
      <c r="W49" s="49"/>
      <c r="X49" s="25"/>
      <c r="Y49" s="25"/>
      <c r="Z49" s="25"/>
      <c r="AA49" s="49"/>
      <c r="AB49" s="25"/>
      <c r="AC49" s="25"/>
      <c r="AD49" s="25"/>
      <c r="AE49" s="49"/>
      <c r="AF49" s="25"/>
      <c r="AG49" s="25"/>
      <c r="AH49" s="25"/>
      <c r="AI49" s="49"/>
      <c r="AJ49" s="25"/>
      <c r="AK49" s="25"/>
      <c r="AL49" s="25"/>
      <c r="AM49" s="49"/>
      <c r="AN49" s="25"/>
      <c r="AO49" s="25"/>
      <c r="AP49" s="25"/>
      <c r="AQ49" s="49"/>
      <c r="AR49" s="25"/>
      <c r="AS49" s="25"/>
      <c r="AT49" s="25"/>
      <c r="AU49" s="49"/>
      <c r="AV49" s="25"/>
      <c r="AW49" s="25"/>
      <c r="AX49" s="25"/>
      <c r="AY49" s="49"/>
      <c r="AZ49" s="25"/>
      <c r="BA49" s="25"/>
    </row>
    <row r="50" spans="1:53" s="62" customFormat="1" x14ac:dyDescent="0.25">
      <c r="A50" s="31"/>
      <c r="B50" s="61"/>
      <c r="C50" s="49"/>
      <c r="D50" s="61"/>
      <c r="E50" s="61"/>
      <c r="F50" s="61"/>
      <c r="G50" s="49"/>
      <c r="H50" s="61"/>
      <c r="I50" s="61"/>
      <c r="J50" s="61"/>
      <c r="K50" s="49"/>
      <c r="L50" s="61"/>
      <c r="M50" s="61"/>
      <c r="N50" s="61"/>
      <c r="O50" s="49"/>
      <c r="P50" s="61"/>
      <c r="Q50" s="61"/>
      <c r="R50" s="61"/>
      <c r="S50" s="49"/>
      <c r="T50" s="61"/>
      <c r="U50" s="61"/>
      <c r="V50" s="61"/>
      <c r="W50" s="49"/>
      <c r="X50" s="61"/>
      <c r="Y50" s="61"/>
      <c r="Z50" s="61"/>
      <c r="AA50" s="49"/>
      <c r="AB50" s="61"/>
      <c r="AC50" s="61"/>
      <c r="AD50" s="61"/>
      <c r="AE50" s="49"/>
      <c r="AF50" s="61"/>
      <c r="AG50" s="61"/>
      <c r="AH50" s="61"/>
      <c r="AI50" s="49"/>
      <c r="AJ50" s="61"/>
      <c r="AK50" s="61"/>
      <c r="AL50" s="61"/>
      <c r="AM50" s="49"/>
      <c r="AN50" s="61"/>
      <c r="AO50" s="61"/>
      <c r="AP50" s="61"/>
      <c r="AQ50" s="49"/>
      <c r="AR50" s="61"/>
      <c r="AS50" s="61"/>
      <c r="AT50" s="61"/>
      <c r="AU50" s="49"/>
      <c r="AV50" s="61"/>
      <c r="AW50" s="61"/>
      <c r="AX50" s="61"/>
      <c r="AY50" s="49"/>
      <c r="AZ50" s="61"/>
      <c r="BA50" s="61"/>
    </row>
    <row r="51" spans="1:53" s="62" customFormat="1" x14ac:dyDescent="0.25">
      <c r="A51" s="38"/>
      <c r="B51" s="25"/>
      <c r="C51" s="49"/>
      <c r="D51" s="25"/>
      <c r="E51" s="25"/>
      <c r="F51" s="25"/>
      <c r="G51" s="49"/>
      <c r="H51" s="25"/>
      <c r="I51" s="25"/>
      <c r="J51" s="25"/>
      <c r="K51" s="49"/>
      <c r="L51" s="25"/>
      <c r="M51" s="25"/>
      <c r="N51" s="25"/>
      <c r="O51" s="49"/>
      <c r="P51" s="25"/>
      <c r="Q51" s="25"/>
      <c r="R51" s="25"/>
      <c r="S51" s="49"/>
      <c r="T51" s="25"/>
      <c r="U51" s="25"/>
      <c r="V51" s="25"/>
      <c r="W51" s="49"/>
      <c r="X51" s="25"/>
      <c r="Y51" s="25"/>
      <c r="Z51" s="25"/>
      <c r="AA51" s="49"/>
      <c r="AB51" s="25"/>
      <c r="AC51" s="25"/>
      <c r="AD51" s="25"/>
      <c r="AE51" s="49"/>
      <c r="AF51" s="25"/>
      <c r="AG51" s="25"/>
      <c r="AH51" s="25"/>
      <c r="AI51" s="49"/>
      <c r="AJ51" s="25"/>
      <c r="AK51" s="25"/>
      <c r="AL51" s="25"/>
      <c r="AM51" s="49"/>
      <c r="AN51" s="25"/>
      <c r="AO51" s="25"/>
      <c r="AP51" s="25"/>
      <c r="AQ51" s="49"/>
      <c r="AR51" s="25"/>
      <c r="AS51" s="25"/>
      <c r="AT51" s="25"/>
      <c r="AU51" s="49"/>
      <c r="AV51" s="25"/>
      <c r="AW51" s="25"/>
      <c r="AX51" s="25"/>
      <c r="AY51" s="49"/>
      <c r="AZ51" s="25"/>
      <c r="BA51" s="25"/>
    </row>
    <row r="52" spans="1:53" s="62" customFormat="1" x14ac:dyDescent="0.25">
      <c r="A52" s="31"/>
      <c r="B52" s="61"/>
      <c r="C52" s="49"/>
      <c r="D52" s="61"/>
      <c r="E52" s="61"/>
      <c r="F52" s="61"/>
      <c r="G52" s="49"/>
      <c r="H52" s="61"/>
      <c r="I52" s="61"/>
      <c r="J52" s="61"/>
      <c r="K52" s="49"/>
      <c r="L52" s="61"/>
      <c r="M52" s="61"/>
      <c r="N52" s="61"/>
      <c r="O52" s="49"/>
      <c r="P52" s="61"/>
      <c r="Q52" s="61"/>
      <c r="R52" s="61"/>
      <c r="S52" s="49"/>
      <c r="T52" s="61"/>
      <c r="U52" s="61"/>
      <c r="V52" s="61"/>
      <c r="W52" s="49"/>
      <c r="X52" s="61"/>
      <c r="Y52" s="61"/>
      <c r="Z52" s="61"/>
      <c r="AA52" s="49"/>
      <c r="AB52" s="61"/>
      <c r="AC52" s="61"/>
      <c r="AD52" s="61"/>
      <c r="AE52" s="49"/>
      <c r="AF52" s="61"/>
      <c r="AG52" s="61"/>
      <c r="AH52" s="61"/>
      <c r="AI52" s="49"/>
      <c r="AJ52" s="61"/>
      <c r="AK52" s="61"/>
      <c r="AL52" s="61"/>
      <c r="AM52" s="49"/>
      <c r="AN52" s="61"/>
      <c r="AO52" s="61"/>
      <c r="AP52" s="61"/>
      <c r="AQ52" s="49"/>
      <c r="AR52" s="61"/>
      <c r="AS52" s="61"/>
      <c r="AT52" s="61"/>
      <c r="AU52" s="49"/>
      <c r="AV52" s="61"/>
      <c r="AW52" s="61"/>
      <c r="AX52" s="61"/>
      <c r="AY52" s="49"/>
      <c r="AZ52" s="61"/>
      <c r="BA52" s="61"/>
    </row>
    <row r="53" spans="1:53" s="62" customFormat="1" x14ac:dyDescent="0.25">
      <c r="A53" s="38"/>
      <c r="B53" s="25"/>
      <c r="C53" s="49"/>
      <c r="D53" s="25"/>
      <c r="E53" s="25"/>
      <c r="F53" s="25"/>
      <c r="G53" s="49"/>
      <c r="H53" s="25"/>
      <c r="I53" s="25"/>
      <c r="J53" s="25"/>
      <c r="K53" s="49"/>
      <c r="L53" s="25"/>
      <c r="M53" s="25"/>
      <c r="N53" s="25"/>
      <c r="O53" s="49"/>
      <c r="P53" s="25"/>
      <c r="Q53" s="25"/>
      <c r="R53" s="25"/>
      <c r="S53" s="49"/>
      <c r="T53" s="25"/>
      <c r="U53" s="25"/>
      <c r="V53" s="25"/>
      <c r="W53" s="49"/>
      <c r="X53" s="25"/>
      <c r="Y53" s="25"/>
      <c r="Z53" s="25"/>
      <c r="AA53" s="49"/>
      <c r="AB53" s="25"/>
      <c r="AC53" s="25"/>
      <c r="AD53" s="25"/>
      <c r="AE53" s="49"/>
      <c r="AF53" s="25"/>
      <c r="AG53" s="25"/>
      <c r="AH53" s="25"/>
      <c r="AI53" s="49"/>
      <c r="AJ53" s="25"/>
      <c r="AK53" s="25"/>
      <c r="AL53" s="25"/>
      <c r="AM53" s="49"/>
      <c r="AN53" s="25"/>
      <c r="AO53" s="25"/>
      <c r="AP53" s="25"/>
      <c r="AQ53" s="49"/>
      <c r="AR53" s="25"/>
      <c r="AS53" s="25"/>
      <c r="AT53" s="25"/>
      <c r="AU53" s="49"/>
      <c r="AV53" s="25"/>
      <c r="AW53" s="25"/>
      <c r="AX53" s="25"/>
      <c r="AY53" s="49"/>
      <c r="AZ53" s="25"/>
      <c r="BA53" s="25"/>
    </row>
    <row r="54" spans="1:53" s="62" customFormat="1" x14ac:dyDescent="0.25">
      <c r="A54" s="31"/>
      <c r="B54" s="61"/>
      <c r="C54" s="49"/>
      <c r="D54" s="61"/>
      <c r="E54" s="61"/>
      <c r="F54" s="61"/>
      <c r="G54" s="49"/>
      <c r="H54" s="61"/>
      <c r="I54" s="61"/>
      <c r="J54" s="61"/>
      <c r="K54" s="49"/>
      <c r="L54" s="61"/>
      <c r="M54" s="61"/>
      <c r="N54" s="61"/>
      <c r="O54" s="49"/>
      <c r="P54" s="61"/>
      <c r="Q54" s="61"/>
      <c r="R54" s="61"/>
      <c r="S54" s="49"/>
      <c r="T54" s="61"/>
      <c r="U54" s="61"/>
      <c r="V54" s="61"/>
      <c r="W54" s="49"/>
      <c r="X54" s="61"/>
      <c r="Y54" s="61"/>
      <c r="Z54" s="61"/>
      <c r="AA54" s="49"/>
      <c r="AB54" s="61"/>
      <c r="AC54" s="61"/>
      <c r="AD54" s="61"/>
      <c r="AE54" s="49"/>
      <c r="AF54" s="61"/>
      <c r="AG54" s="61"/>
      <c r="AH54" s="61"/>
      <c r="AI54" s="49"/>
      <c r="AJ54" s="61"/>
      <c r="AK54" s="61"/>
      <c r="AL54" s="61"/>
      <c r="AM54" s="49"/>
      <c r="AN54" s="61"/>
      <c r="AO54" s="61"/>
      <c r="AP54" s="61"/>
      <c r="AQ54" s="49"/>
      <c r="AR54" s="61"/>
      <c r="AS54" s="61"/>
      <c r="AT54" s="61"/>
      <c r="AU54" s="49"/>
      <c r="AV54" s="61"/>
      <c r="AW54" s="61"/>
      <c r="AX54" s="61"/>
      <c r="AY54" s="49"/>
      <c r="AZ54" s="61"/>
      <c r="BA54" s="61"/>
    </row>
    <row r="55" spans="1:53" s="62" customFormat="1" x14ac:dyDescent="0.25">
      <c r="A55" s="38"/>
      <c r="B55" s="25"/>
      <c r="C55" s="49"/>
      <c r="D55" s="25"/>
      <c r="E55" s="25"/>
      <c r="F55" s="25"/>
      <c r="G55" s="49"/>
      <c r="H55" s="25"/>
      <c r="I55" s="25"/>
      <c r="J55" s="25"/>
      <c r="K55" s="49"/>
      <c r="L55" s="25"/>
      <c r="M55" s="25"/>
      <c r="N55" s="25"/>
      <c r="O55" s="49"/>
      <c r="P55" s="25"/>
      <c r="Q55" s="25"/>
      <c r="R55" s="25"/>
      <c r="S55" s="49"/>
      <c r="T55" s="25"/>
      <c r="U55" s="25"/>
      <c r="V55" s="25"/>
      <c r="W55" s="49"/>
      <c r="X55" s="25"/>
      <c r="Y55" s="25"/>
      <c r="Z55" s="25"/>
      <c r="AA55" s="49"/>
      <c r="AB55" s="25"/>
      <c r="AC55" s="25"/>
      <c r="AD55" s="25"/>
      <c r="AE55" s="49"/>
      <c r="AF55" s="25"/>
      <c r="AG55" s="25"/>
      <c r="AH55" s="25"/>
      <c r="AI55" s="49"/>
      <c r="AJ55" s="25"/>
      <c r="AK55" s="25"/>
      <c r="AL55" s="25"/>
      <c r="AM55" s="49"/>
      <c r="AN55" s="25"/>
      <c r="AO55" s="25"/>
      <c r="AP55" s="25"/>
      <c r="AQ55" s="49"/>
      <c r="AR55" s="25"/>
      <c r="AS55" s="25"/>
      <c r="AT55" s="25"/>
      <c r="AU55" s="49"/>
      <c r="AV55" s="25"/>
      <c r="AW55" s="25"/>
      <c r="AX55" s="25"/>
      <c r="AY55" s="49"/>
      <c r="AZ55" s="25"/>
      <c r="BA55" s="25"/>
    </row>
    <row r="56" spans="1:53" s="62" customFormat="1" x14ac:dyDescent="0.25">
      <c r="A56" s="47"/>
      <c r="B56" s="61"/>
      <c r="C56" s="49"/>
      <c r="D56" s="61"/>
      <c r="E56" s="61"/>
      <c r="F56" s="61"/>
      <c r="G56" s="49"/>
      <c r="H56" s="61"/>
      <c r="I56" s="61"/>
      <c r="J56" s="61"/>
      <c r="K56" s="49"/>
      <c r="L56" s="61"/>
      <c r="M56" s="61"/>
      <c r="N56" s="61"/>
      <c r="O56" s="49"/>
      <c r="P56" s="61"/>
      <c r="Q56" s="61"/>
      <c r="R56" s="61"/>
      <c r="S56" s="49"/>
      <c r="T56" s="61"/>
      <c r="U56" s="61"/>
      <c r="V56" s="61"/>
      <c r="W56" s="49"/>
      <c r="X56" s="61"/>
      <c r="Y56" s="61"/>
      <c r="Z56" s="61"/>
      <c r="AA56" s="49"/>
      <c r="AB56" s="61"/>
      <c r="AC56" s="61"/>
      <c r="AD56" s="61"/>
      <c r="AE56" s="49"/>
      <c r="AF56" s="61"/>
      <c r="AG56" s="61"/>
      <c r="AH56" s="61"/>
      <c r="AI56" s="49"/>
      <c r="AJ56" s="61"/>
      <c r="AK56" s="61"/>
      <c r="AL56" s="61"/>
      <c r="AM56" s="49"/>
      <c r="AN56" s="61"/>
      <c r="AO56" s="61"/>
      <c r="AP56" s="61"/>
      <c r="AQ56" s="49"/>
      <c r="AR56" s="61"/>
      <c r="AS56" s="61"/>
      <c r="AT56" s="61"/>
      <c r="AU56" s="49"/>
      <c r="AV56" s="61"/>
      <c r="AW56" s="61"/>
      <c r="AX56" s="61"/>
      <c r="AY56" s="49"/>
      <c r="AZ56" s="61"/>
      <c r="BA56" s="61"/>
    </row>
    <row r="57" spans="1:53" s="62" customFormat="1" x14ac:dyDescent="0.25">
      <c r="A57" s="38"/>
      <c r="B57" s="25"/>
      <c r="C57" s="49"/>
      <c r="D57" s="25"/>
      <c r="E57" s="25"/>
      <c r="F57" s="25"/>
      <c r="G57" s="49"/>
      <c r="H57" s="25"/>
      <c r="I57" s="25"/>
      <c r="J57" s="25"/>
      <c r="K57" s="49"/>
      <c r="L57" s="25"/>
      <c r="M57" s="25"/>
      <c r="N57" s="25"/>
      <c r="O57" s="49"/>
      <c r="P57" s="25"/>
      <c r="Q57" s="25"/>
      <c r="R57" s="25"/>
      <c r="S57" s="49"/>
      <c r="T57" s="25"/>
      <c r="U57" s="25"/>
      <c r="V57" s="25"/>
      <c r="W57" s="49"/>
      <c r="X57" s="25"/>
      <c r="Y57" s="25"/>
      <c r="Z57" s="25"/>
      <c r="AA57" s="49"/>
      <c r="AB57" s="25"/>
      <c r="AC57" s="25"/>
      <c r="AD57" s="25"/>
      <c r="AE57" s="49"/>
      <c r="AF57" s="25"/>
      <c r="AG57" s="25"/>
      <c r="AH57" s="25"/>
      <c r="AI57" s="49"/>
      <c r="AJ57" s="25"/>
      <c r="AK57" s="25"/>
      <c r="AL57" s="25"/>
      <c r="AM57" s="49"/>
      <c r="AN57" s="25"/>
      <c r="AO57" s="25"/>
      <c r="AP57" s="25"/>
      <c r="AQ57" s="49"/>
      <c r="AR57" s="25"/>
      <c r="AS57" s="25"/>
      <c r="AT57" s="25"/>
      <c r="AU57" s="49"/>
      <c r="AV57" s="25"/>
      <c r="AW57" s="25"/>
      <c r="AX57" s="25"/>
      <c r="AY57" s="49"/>
      <c r="AZ57" s="25"/>
      <c r="BA57" s="25"/>
    </row>
    <row r="58" spans="1:53" s="62" customFormat="1" x14ac:dyDescent="0.25">
      <c r="A58" s="31"/>
      <c r="B58" s="61"/>
      <c r="C58" s="49"/>
      <c r="D58" s="61"/>
      <c r="E58" s="61"/>
      <c r="F58" s="61"/>
      <c r="G58" s="49"/>
      <c r="H58" s="61"/>
      <c r="I58" s="61"/>
      <c r="J58" s="61"/>
      <c r="K58" s="49"/>
      <c r="L58" s="61"/>
      <c r="M58" s="61"/>
      <c r="N58" s="61"/>
      <c r="O58" s="49"/>
      <c r="P58" s="61"/>
      <c r="Q58" s="61"/>
      <c r="R58" s="61"/>
      <c r="S58" s="49"/>
      <c r="T58" s="61"/>
      <c r="U58" s="61"/>
      <c r="V58" s="61"/>
      <c r="W58" s="49"/>
      <c r="X58" s="61"/>
      <c r="Y58" s="61"/>
      <c r="Z58" s="61"/>
      <c r="AA58" s="49"/>
      <c r="AB58" s="61"/>
      <c r="AC58" s="61"/>
      <c r="AD58" s="61"/>
      <c r="AE58" s="49"/>
      <c r="AF58" s="61"/>
      <c r="AG58" s="61"/>
      <c r="AH58" s="61"/>
      <c r="AI58" s="49"/>
      <c r="AJ58" s="61"/>
      <c r="AK58" s="61"/>
      <c r="AL58" s="61"/>
      <c r="AM58" s="49"/>
      <c r="AN58" s="61"/>
      <c r="AO58" s="61"/>
      <c r="AP58" s="61"/>
      <c r="AQ58" s="49"/>
      <c r="AR58" s="61"/>
      <c r="AS58" s="61"/>
      <c r="AT58" s="61"/>
      <c r="AU58" s="49"/>
      <c r="AV58" s="61"/>
      <c r="AW58" s="61"/>
      <c r="AX58" s="61"/>
      <c r="AY58" s="49"/>
      <c r="AZ58" s="61"/>
      <c r="BA58" s="61"/>
    </row>
    <row r="59" spans="1:53" s="62" customFormat="1" x14ac:dyDescent="0.25">
      <c r="A59" s="38"/>
      <c r="B59" s="25"/>
      <c r="C59" s="49"/>
      <c r="D59" s="25"/>
      <c r="E59" s="25"/>
      <c r="F59" s="25"/>
      <c r="G59" s="49"/>
      <c r="H59" s="25"/>
      <c r="I59" s="25"/>
      <c r="J59" s="25"/>
      <c r="K59" s="49"/>
      <c r="L59" s="25"/>
      <c r="M59" s="25"/>
      <c r="N59" s="25"/>
      <c r="O59" s="49"/>
      <c r="P59" s="25"/>
      <c r="Q59" s="25"/>
      <c r="R59" s="25"/>
      <c r="S59" s="49"/>
      <c r="T59" s="25"/>
      <c r="U59" s="25"/>
      <c r="V59" s="25"/>
      <c r="W59" s="49"/>
      <c r="X59" s="25"/>
      <c r="Y59" s="25"/>
      <c r="Z59" s="25"/>
      <c r="AA59" s="49"/>
      <c r="AB59" s="25"/>
      <c r="AC59" s="25"/>
      <c r="AD59" s="25"/>
      <c r="AE59" s="49"/>
      <c r="AF59" s="25"/>
      <c r="AG59" s="25"/>
      <c r="AH59" s="25"/>
      <c r="AI59" s="49"/>
      <c r="AJ59" s="25"/>
      <c r="AK59" s="25"/>
      <c r="AL59" s="25"/>
      <c r="AM59" s="49"/>
      <c r="AN59" s="25"/>
      <c r="AO59" s="25"/>
      <c r="AP59" s="25"/>
      <c r="AQ59" s="49"/>
      <c r="AR59" s="25"/>
      <c r="AS59" s="25"/>
      <c r="AT59" s="25"/>
      <c r="AU59" s="49"/>
      <c r="AV59" s="25"/>
      <c r="AW59" s="25"/>
      <c r="AX59" s="25"/>
      <c r="AY59" s="49"/>
      <c r="AZ59" s="25"/>
      <c r="BA59" s="25"/>
    </row>
    <row r="60" spans="1:53" s="62" customFormat="1" x14ac:dyDescent="0.25">
      <c r="A60" s="31"/>
      <c r="B60"/>
      <c r="C60" s="49"/>
      <c r="D60"/>
      <c r="E60"/>
      <c r="F60"/>
      <c r="G60" s="49"/>
      <c r="H60"/>
      <c r="I60"/>
      <c r="J60"/>
      <c r="K60" s="49"/>
      <c r="L60"/>
      <c r="M60"/>
      <c r="N60"/>
      <c r="O60" s="49"/>
      <c r="P60"/>
      <c r="Q60"/>
      <c r="R60"/>
      <c r="S60" s="49"/>
      <c r="T60"/>
      <c r="U60"/>
      <c r="V60"/>
      <c r="W60" s="49"/>
      <c r="X60"/>
      <c r="Y60"/>
      <c r="Z60"/>
      <c r="AA60" s="49"/>
      <c r="AB60"/>
      <c r="AC60"/>
      <c r="AD60"/>
      <c r="AE60" s="49"/>
      <c r="AF60"/>
      <c r="AG60"/>
      <c r="AH60"/>
      <c r="AI60" s="49"/>
      <c r="AJ60"/>
      <c r="AK60"/>
      <c r="AL60"/>
      <c r="AM60" s="49"/>
      <c r="AN60"/>
      <c r="AO60"/>
      <c r="AP60"/>
      <c r="AQ60" s="49"/>
      <c r="AR60"/>
      <c r="AS60"/>
      <c r="AT60"/>
      <c r="AU60" s="49"/>
      <c r="AV60"/>
      <c r="AW60"/>
      <c r="AX60"/>
      <c r="AY60" s="49"/>
      <c r="AZ60"/>
      <c r="BA60"/>
    </row>
    <row r="61" spans="1:53" s="63" customFormat="1" ht="15.75" x14ac:dyDescent="0.25">
      <c r="A61" s="38"/>
      <c r="B61" s="25"/>
      <c r="C61" s="49"/>
      <c r="D61" s="25"/>
      <c r="E61" s="25"/>
      <c r="F61" s="25"/>
      <c r="G61" s="49"/>
      <c r="H61" s="25"/>
      <c r="I61" s="25"/>
      <c r="J61" s="25"/>
      <c r="K61" s="49"/>
      <c r="L61" s="25"/>
      <c r="M61" s="25"/>
      <c r="N61" s="25"/>
      <c r="O61" s="49"/>
      <c r="P61" s="25"/>
      <c r="Q61" s="25"/>
      <c r="R61" s="25"/>
      <c r="S61" s="49"/>
      <c r="T61" s="25"/>
      <c r="U61" s="25"/>
      <c r="V61" s="25"/>
      <c r="W61" s="49"/>
      <c r="X61" s="25"/>
      <c r="Y61" s="25"/>
      <c r="Z61" s="25"/>
      <c r="AA61" s="49"/>
      <c r="AB61" s="25"/>
      <c r="AC61" s="25"/>
      <c r="AD61" s="25"/>
      <c r="AE61" s="49"/>
      <c r="AF61" s="25"/>
      <c r="AG61" s="25"/>
      <c r="AH61" s="25"/>
      <c r="AI61" s="49"/>
      <c r="AJ61" s="25"/>
      <c r="AK61" s="25"/>
      <c r="AL61" s="25"/>
      <c r="AM61" s="49"/>
      <c r="AN61" s="25"/>
      <c r="AO61" s="25"/>
      <c r="AP61" s="25"/>
      <c r="AQ61" s="49"/>
      <c r="AR61" s="25"/>
      <c r="AS61" s="25"/>
      <c r="AT61" s="25"/>
      <c r="AU61" s="49"/>
      <c r="AV61" s="25"/>
      <c r="AW61" s="25"/>
      <c r="AX61" s="25"/>
      <c r="AY61" s="49"/>
      <c r="AZ61" s="37"/>
      <c r="BA61" s="37"/>
    </row>
    <row r="62" spans="1:53" s="62" customFormat="1" x14ac:dyDescent="0.25">
      <c r="A62" s="31"/>
      <c r="B62" s="61"/>
      <c r="C62" s="49"/>
      <c r="D62" s="61"/>
      <c r="E62" s="61"/>
      <c r="F62" s="61"/>
      <c r="G62" s="49"/>
      <c r="H62" s="61"/>
      <c r="I62" s="61"/>
      <c r="J62" s="61"/>
      <c r="K62" s="49"/>
      <c r="L62" s="61"/>
      <c r="M62" s="61"/>
      <c r="N62" s="61"/>
      <c r="O62" s="49"/>
      <c r="P62" s="61"/>
      <c r="Q62" s="61"/>
      <c r="R62" s="61"/>
      <c r="S62" s="49"/>
      <c r="T62" s="61"/>
      <c r="U62" s="61"/>
      <c r="V62" s="61"/>
      <c r="W62" s="49"/>
      <c r="X62" s="61"/>
      <c r="Y62" s="61"/>
      <c r="Z62" s="61"/>
      <c r="AA62" s="49"/>
      <c r="AB62" s="61"/>
      <c r="AC62" s="61"/>
      <c r="AD62" s="61"/>
      <c r="AE62" s="49"/>
      <c r="AF62" s="61"/>
      <c r="AG62" s="61"/>
      <c r="AH62" s="61"/>
      <c r="AI62" s="49"/>
      <c r="AJ62" s="61"/>
      <c r="AK62" s="61"/>
      <c r="AL62" s="61"/>
      <c r="AM62" s="49"/>
      <c r="AN62" s="61"/>
      <c r="AO62" s="61"/>
      <c r="AP62" s="61"/>
      <c r="AQ62" s="49"/>
      <c r="AR62" s="61"/>
      <c r="AS62" s="61"/>
      <c r="AT62" s="61"/>
      <c r="AU62" s="49"/>
      <c r="AV62" s="61"/>
      <c r="AW62" s="61"/>
      <c r="AX62" s="61"/>
      <c r="AY62" s="49"/>
      <c r="AZ62" s="61"/>
      <c r="BA62" s="61"/>
    </row>
    <row r="63" spans="1:53" s="62" customFormat="1" x14ac:dyDescent="0.25">
      <c r="A63" s="38"/>
      <c r="B63" s="25"/>
      <c r="C63" s="49"/>
      <c r="D63" s="25"/>
      <c r="E63" s="25"/>
      <c r="F63" s="25"/>
      <c r="G63" s="49"/>
      <c r="H63" s="25"/>
      <c r="I63" s="25"/>
      <c r="J63" s="25"/>
      <c r="K63" s="49"/>
      <c r="L63" s="25"/>
      <c r="M63" s="25"/>
      <c r="N63" s="25"/>
      <c r="O63" s="49"/>
      <c r="P63" s="25"/>
      <c r="Q63" s="25"/>
      <c r="R63" s="25"/>
      <c r="S63" s="49"/>
      <c r="T63" s="25"/>
      <c r="U63" s="25"/>
      <c r="V63" s="25"/>
      <c r="W63" s="49"/>
      <c r="X63" s="25"/>
      <c r="Y63" s="25"/>
      <c r="Z63" s="25"/>
      <c r="AA63" s="49"/>
      <c r="AB63" s="25"/>
      <c r="AC63" s="25"/>
      <c r="AD63" s="25"/>
      <c r="AE63" s="49"/>
      <c r="AF63" s="25"/>
      <c r="AG63" s="25"/>
      <c r="AH63" s="25"/>
      <c r="AI63" s="49"/>
      <c r="AJ63" s="25"/>
      <c r="AK63" s="25"/>
      <c r="AL63" s="25"/>
      <c r="AM63" s="49"/>
      <c r="AN63" s="25"/>
      <c r="AO63" s="25"/>
      <c r="AP63" s="25"/>
      <c r="AQ63" s="49"/>
      <c r="AR63" s="25"/>
      <c r="AS63" s="25"/>
      <c r="AT63" s="25"/>
      <c r="AU63" s="49"/>
      <c r="AV63" s="25"/>
      <c r="AW63" s="25"/>
      <c r="AX63" s="25"/>
      <c r="AY63" s="49"/>
      <c r="AZ63" s="25"/>
      <c r="BA63" s="25"/>
    </row>
    <row r="64" spans="1:53" s="62" customFormat="1" x14ac:dyDescent="0.25">
      <c r="A64" s="31"/>
      <c r="B64" s="61"/>
      <c r="C64" s="49"/>
      <c r="D64" s="61"/>
      <c r="E64" s="61"/>
      <c r="F64" s="61"/>
      <c r="G64" s="49"/>
      <c r="H64" s="61"/>
      <c r="I64" s="61"/>
      <c r="J64" s="61"/>
      <c r="K64" s="49"/>
      <c r="L64" s="61"/>
      <c r="M64" s="61"/>
      <c r="N64" s="61"/>
      <c r="O64" s="49"/>
      <c r="P64" s="61"/>
      <c r="Q64" s="61"/>
      <c r="R64" s="61"/>
      <c r="S64" s="49"/>
      <c r="T64" s="61"/>
      <c r="U64" s="61"/>
      <c r="V64" s="61"/>
      <c r="W64" s="49"/>
      <c r="X64" s="61"/>
      <c r="Y64" s="61"/>
      <c r="Z64" s="61"/>
      <c r="AA64" s="49"/>
      <c r="AB64" s="61"/>
      <c r="AC64" s="61"/>
      <c r="AD64" s="61"/>
      <c r="AE64" s="49"/>
      <c r="AF64" s="61"/>
      <c r="AG64" s="61"/>
      <c r="AH64" s="61"/>
      <c r="AI64" s="49"/>
      <c r="AJ64" s="61"/>
      <c r="AK64" s="61"/>
      <c r="AL64" s="61"/>
      <c r="AM64" s="49"/>
      <c r="AN64" s="61"/>
      <c r="AO64" s="61"/>
      <c r="AP64" s="61"/>
      <c r="AQ64" s="49"/>
      <c r="AR64" s="61"/>
      <c r="AS64" s="61"/>
      <c r="AT64" s="61"/>
      <c r="AU64" s="49"/>
      <c r="AV64" s="61"/>
      <c r="AW64" s="61"/>
      <c r="AX64" s="61"/>
      <c r="AY64" s="49"/>
      <c r="AZ64" s="61"/>
      <c r="BA64" s="61"/>
    </row>
    <row r="65" spans="1:53" s="62" customFormat="1" x14ac:dyDescent="0.25">
      <c r="A65" s="38"/>
      <c r="B65" s="25"/>
      <c r="C65" s="49"/>
      <c r="D65" s="25"/>
      <c r="E65" s="25"/>
      <c r="F65" s="25"/>
      <c r="G65" s="49"/>
      <c r="H65" s="25"/>
      <c r="I65" s="25"/>
      <c r="J65" s="25"/>
      <c r="K65" s="49"/>
      <c r="L65" s="25"/>
      <c r="M65" s="25"/>
      <c r="N65" s="25"/>
      <c r="O65" s="49"/>
      <c r="P65" s="25"/>
      <c r="Q65" s="25"/>
      <c r="R65" s="25"/>
      <c r="S65" s="49"/>
      <c r="T65" s="25"/>
      <c r="U65" s="25"/>
      <c r="V65" s="25"/>
      <c r="W65" s="49"/>
      <c r="X65" s="25"/>
      <c r="Y65" s="25"/>
      <c r="Z65" s="25"/>
      <c r="AA65" s="49"/>
      <c r="AB65" s="25"/>
      <c r="AC65" s="25"/>
      <c r="AD65" s="25"/>
      <c r="AE65" s="49"/>
      <c r="AF65" s="25"/>
      <c r="AG65" s="25"/>
      <c r="AH65" s="25"/>
      <c r="AI65" s="49"/>
      <c r="AJ65" s="25"/>
      <c r="AK65" s="25"/>
      <c r="AL65" s="25"/>
      <c r="AM65" s="49"/>
      <c r="AN65" s="25"/>
      <c r="AO65" s="25"/>
      <c r="AP65" s="25"/>
      <c r="AQ65" s="49"/>
      <c r="AR65" s="25"/>
      <c r="AS65" s="25"/>
      <c r="AT65" s="25"/>
      <c r="AU65" s="49"/>
      <c r="AV65" s="25"/>
      <c r="AW65" s="25"/>
      <c r="AX65" s="25"/>
      <c r="AY65" s="49"/>
      <c r="AZ65" s="25"/>
      <c r="BA65" s="25"/>
    </row>
    <row r="66" spans="1:53" s="62" customFormat="1" x14ac:dyDescent="0.25">
      <c r="A66" s="31"/>
      <c r="B66" s="61"/>
      <c r="C66" s="49"/>
      <c r="D66" s="61"/>
      <c r="E66" s="61"/>
      <c r="F66" s="61"/>
      <c r="G66" s="49"/>
      <c r="H66" s="61"/>
      <c r="I66" s="61"/>
      <c r="J66" s="61"/>
      <c r="K66" s="49"/>
      <c r="L66" s="61"/>
      <c r="M66" s="61"/>
      <c r="N66" s="61"/>
      <c r="O66" s="49"/>
      <c r="P66" s="61"/>
      <c r="Q66" s="61"/>
      <c r="R66" s="61"/>
      <c r="S66" s="49"/>
      <c r="T66" s="61"/>
      <c r="U66" s="61"/>
      <c r="V66" s="61"/>
      <c r="W66" s="49"/>
      <c r="X66" s="61"/>
      <c r="Y66" s="61"/>
      <c r="Z66" s="61"/>
      <c r="AA66" s="49"/>
      <c r="AB66" s="61"/>
      <c r="AC66" s="61"/>
      <c r="AD66" s="61"/>
      <c r="AE66" s="49"/>
      <c r="AF66" s="61"/>
      <c r="AG66" s="61"/>
      <c r="AH66" s="61"/>
      <c r="AI66" s="49"/>
      <c r="AJ66" s="61"/>
      <c r="AK66" s="61"/>
      <c r="AL66" s="61"/>
      <c r="AM66" s="49"/>
      <c r="AN66" s="61"/>
      <c r="AO66" s="61"/>
      <c r="AP66" s="61"/>
      <c r="AQ66" s="49"/>
      <c r="AR66" s="61"/>
      <c r="AS66" s="61"/>
      <c r="AT66" s="61"/>
      <c r="AU66" s="49"/>
      <c r="AV66" s="61"/>
      <c r="AW66" s="61"/>
      <c r="AX66" s="61"/>
      <c r="AY66" s="49"/>
      <c r="AZ66" s="61"/>
      <c r="BA66" s="61"/>
    </row>
    <row r="67" spans="1:53" s="62" customFormat="1" x14ac:dyDescent="0.25">
      <c r="A67" s="38"/>
      <c r="B67" s="25"/>
      <c r="C67" s="49"/>
      <c r="D67" s="25"/>
      <c r="E67" s="25"/>
      <c r="F67" s="25"/>
      <c r="G67" s="49"/>
      <c r="H67" s="25"/>
      <c r="I67" s="25"/>
      <c r="J67" s="25"/>
      <c r="K67" s="49"/>
      <c r="L67" s="25"/>
      <c r="M67" s="25"/>
      <c r="N67" s="25"/>
      <c r="O67" s="49"/>
      <c r="P67" s="25"/>
      <c r="Q67" s="25"/>
      <c r="R67" s="25"/>
      <c r="S67" s="49"/>
      <c r="T67" s="25"/>
      <c r="U67" s="25"/>
      <c r="V67" s="25"/>
      <c r="W67" s="49"/>
      <c r="X67" s="25"/>
      <c r="Y67" s="25"/>
      <c r="Z67" s="25"/>
      <c r="AA67" s="49"/>
      <c r="AB67" s="25"/>
      <c r="AC67" s="25"/>
      <c r="AD67" s="25"/>
      <c r="AE67" s="49"/>
      <c r="AF67" s="25"/>
      <c r="AG67" s="25"/>
      <c r="AH67" s="25"/>
      <c r="AI67" s="49"/>
      <c r="AJ67" s="25"/>
      <c r="AK67" s="25"/>
      <c r="AL67" s="25"/>
      <c r="AM67" s="49"/>
      <c r="AN67" s="25"/>
      <c r="AO67" s="25"/>
      <c r="AP67" s="25"/>
      <c r="AQ67" s="49"/>
      <c r="AR67" s="25"/>
      <c r="AS67" s="25"/>
      <c r="AT67" s="25"/>
      <c r="AU67" s="49"/>
      <c r="AV67" s="25"/>
      <c r="AW67" s="25"/>
      <c r="AX67" s="25"/>
      <c r="AY67" s="49"/>
      <c r="AZ67" s="25"/>
      <c r="BA67" s="25"/>
    </row>
    <row r="68" spans="1:53" s="62" customFormat="1" x14ac:dyDescent="0.25">
      <c r="A68" s="31"/>
      <c r="B68" s="61"/>
      <c r="C68" s="49"/>
      <c r="D68" s="61"/>
      <c r="E68" s="61"/>
      <c r="F68" s="61"/>
      <c r="G68" s="49"/>
      <c r="H68" s="61"/>
      <c r="I68" s="61"/>
      <c r="J68" s="61"/>
      <c r="K68" s="49"/>
      <c r="L68" s="61"/>
      <c r="M68" s="61"/>
      <c r="N68" s="61"/>
      <c r="O68" s="49"/>
      <c r="P68" s="61"/>
      <c r="Q68" s="61"/>
      <c r="R68" s="61"/>
      <c r="S68" s="49"/>
      <c r="T68" s="61"/>
      <c r="U68" s="61"/>
      <c r="V68" s="61"/>
      <c r="W68" s="49"/>
      <c r="X68" s="61"/>
      <c r="Y68" s="61"/>
      <c r="Z68" s="61"/>
      <c r="AA68" s="49"/>
      <c r="AB68" s="61"/>
      <c r="AC68" s="61"/>
      <c r="AD68" s="61"/>
      <c r="AE68" s="49"/>
      <c r="AF68" s="61"/>
      <c r="AG68" s="61"/>
      <c r="AH68" s="61"/>
      <c r="AI68" s="49"/>
      <c r="AJ68" s="61"/>
      <c r="AK68" s="61"/>
      <c r="AL68" s="61"/>
      <c r="AM68" s="49"/>
      <c r="AN68" s="61"/>
      <c r="AO68" s="61"/>
      <c r="AP68" s="61"/>
      <c r="AQ68" s="49"/>
      <c r="AR68" s="61"/>
      <c r="AS68" s="61"/>
      <c r="AT68" s="61"/>
      <c r="AU68" s="49"/>
      <c r="AV68" s="61"/>
      <c r="AW68" s="61"/>
      <c r="AX68" s="61"/>
      <c r="AY68" s="49"/>
      <c r="AZ68" s="61"/>
      <c r="BA68" s="61"/>
    </row>
    <row r="69" spans="1:53" s="62" customFormat="1" x14ac:dyDescent="0.25">
      <c r="A69" s="38"/>
      <c r="B69" s="25"/>
      <c r="C69" s="49"/>
      <c r="D69" s="25"/>
      <c r="E69" s="25"/>
      <c r="F69" s="25"/>
      <c r="G69" s="49"/>
      <c r="H69" s="25"/>
      <c r="I69" s="25"/>
      <c r="J69" s="25"/>
      <c r="K69" s="49"/>
      <c r="L69" s="25"/>
      <c r="M69" s="25"/>
      <c r="N69" s="25"/>
      <c r="O69" s="49"/>
      <c r="P69" s="25"/>
      <c r="Q69" s="25"/>
      <c r="R69" s="25"/>
      <c r="S69" s="49"/>
      <c r="T69" s="25"/>
      <c r="U69" s="25"/>
      <c r="V69" s="25"/>
      <c r="W69" s="49"/>
      <c r="X69" s="25"/>
      <c r="Y69" s="25"/>
      <c r="Z69" s="25"/>
      <c r="AA69" s="49"/>
      <c r="AB69" s="25"/>
      <c r="AC69" s="25"/>
      <c r="AD69" s="25"/>
      <c r="AE69" s="49"/>
      <c r="AF69" s="25"/>
      <c r="AG69" s="25"/>
      <c r="AH69" s="25"/>
      <c r="AI69" s="49"/>
      <c r="AJ69" s="25"/>
      <c r="AK69" s="25"/>
      <c r="AL69" s="25"/>
      <c r="AM69" s="49"/>
      <c r="AN69" s="25"/>
      <c r="AO69" s="25"/>
      <c r="AP69" s="25"/>
      <c r="AQ69" s="49"/>
      <c r="AR69" s="25"/>
      <c r="AS69" s="25"/>
      <c r="AT69" s="25"/>
      <c r="AU69" s="49"/>
      <c r="AV69" s="25"/>
      <c r="AW69" s="25"/>
      <c r="AX69" s="25"/>
      <c r="AY69" s="49"/>
      <c r="AZ69" s="25"/>
      <c r="BA69" s="25"/>
    </row>
    <row r="70" spans="1:53" s="62" customFormat="1" x14ac:dyDescent="0.25">
      <c r="A70" s="31"/>
      <c r="B70"/>
      <c r="C70" s="49"/>
      <c r="D70"/>
      <c r="E70"/>
      <c r="F70"/>
      <c r="G70" s="49"/>
      <c r="H70"/>
      <c r="I70"/>
      <c r="J70"/>
      <c r="K70" s="49"/>
      <c r="L70"/>
      <c r="M70"/>
      <c r="N70"/>
      <c r="O70" s="49"/>
      <c r="P70"/>
      <c r="Q70"/>
      <c r="R70"/>
      <c r="S70" s="49"/>
      <c r="T70"/>
      <c r="U70"/>
      <c r="V70"/>
      <c r="W70" s="49"/>
      <c r="X70"/>
      <c r="Y70"/>
      <c r="Z70"/>
      <c r="AA70" s="49"/>
      <c r="AB70"/>
      <c r="AC70"/>
      <c r="AD70"/>
      <c r="AE70" s="49"/>
      <c r="AF70"/>
      <c r="AG70"/>
      <c r="AH70"/>
      <c r="AI70" s="49"/>
      <c r="AJ70"/>
      <c r="AK70"/>
      <c r="AL70"/>
      <c r="AM70" s="49"/>
      <c r="AN70"/>
      <c r="AO70"/>
      <c r="AP70"/>
      <c r="AQ70" s="49"/>
      <c r="AR70"/>
      <c r="AS70"/>
      <c r="AT70"/>
      <c r="AU70" s="49"/>
      <c r="AV70"/>
      <c r="AW70"/>
      <c r="AX70"/>
      <c r="AY70" s="49"/>
      <c r="AZ70"/>
      <c r="BA70"/>
    </row>
    <row r="71" spans="1:53" s="62" customFormat="1" x14ac:dyDescent="0.25">
      <c r="A71" s="38"/>
      <c r="B71" s="25"/>
      <c r="C71" s="49"/>
      <c r="D71" s="25"/>
      <c r="E71" s="25"/>
      <c r="F71" s="25"/>
      <c r="G71" s="49"/>
      <c r="H71" s="25"/>
      <c r="I71" s="25"/>
      <c r="J71" s="25"/>
      <c r="K71" s="49"/>
      <c r="L71" s="25"/>
      <c r="M71" s="25"/>
      <c r="N71" s="25"/>
      <c r="O71" s="49"/>
      <c r="P71" s="25"/>
      <c r="Q71" s="25"/>
      <c r="R71" s="25"/>
      <c r="S71" s="49"/>
      <c r="T71" s="25"/>
      <c r="U71" s="25"/>
      <c r="V71" s="25"/>
      <c r="W71" s="49"/>
      <c r="X71" s="25"/>
      <c r="Y71" s="25"/>
      <c r="Z71" s="25"/>
      <c r="AA71" s="49"/>
      <c r="AB71" s="25"/>
      <c r="AC71" s="25"/>
      <c r="AD71" s="25"/>
      <c r="AE71" s="49"/>
      <c r="AF71" s="25"/>
      <c r="AG71" s="25"/>
      <c r="AH71" s="25"/>
      <c r="AI71" s="49"/>
      <c r="AJ71" s="25"/>
      <c r="AK71" s="25"/>
      <c r="AL71" s="25"/>
      <c r="AM71" s="49"/>
      <c r="AN71" s="25"/>
      <c r="AO71" s="25"/>
      <c r="AP71" s="25"/>
      <c r="AQ71" s="49"/>
      <c r="AR71" s="25"/>
      <c r="AS71" s="25"/>
      <c r="AT71" s="25"/>
      <c r="AU71" s="49"/>
      <c r="AV71" s="25"/>
      <c r="AW71" s="25"/>
      <c r="AX71" s="25"/>
      <c r="AY71" s="49"/>
      <c r="AZ71" s="25"/>
      <c r="BA71" s="25"/>
    </row>
    <row r="72" spans="1:53" s="62" customFormat="1" x14ac:dyDescent="0.25">
      <c r="A72" s="31"/>
      <c r="B72"/>
      <c r="C72" s="49"/>
      <c r="D72"/>
      <c r="E72"/>
      <c r="F72"/>
      <c r="G72" s="49"/>
      <c r="H72"/>
      <c r="I72"/>
      <c r="J72"/>
      <c r="K72" s="49"/>
      <c r="L72"/>
      <c r="M72"/>
      <c r="N72"/>
      <c r="O72" s="49"/>
      <c r="P72"/>
      <c r="Q72"/>
      <c r="R72"/>
      <c r="S72" s="49"/>
      <c r="T72"/>
      <c r="U72"/>
      <c r="V72"/>
      <c r="W72" s="49"/>
      <c r="X72"/>
      <c r="Y72"/>
      <c r="Z72"/>
      <c r="AA72" s="49"/>
      <c r="AB72"/>
      <c r="AC72"/>
      <c r="AD72"/>
      <c r="AE72" s="49"/>
      <c r="AF72"/>
      <c r="AG72"/>
      <c r="AH72"/>
      <c r="AI72" s="49"/>
      <c r="AJ72"/>
      <c r="AK72"/>
      <c r="AL72"/>
      <c r="AM72" s="49"/>
      <c r="AN72"/>
      <c r="AO72"/>
      <c r="AP72"/>
      <c r="AQ72" s="49"/>
      <c r="AR72"/>
      <c r="AS72"/>
      <c r="AT72"/>
      <c r="AU72" s="49"/>
      <c r="AV72"/>
      <c r="AW72"/>
      <c r="AX72"/>
      <c r="AY72" s="49"/>
      <c r="AZ72"/>
      <c r="BA72"/>
    </row>
    <row r="73" spans="1:53" s="62" customFormat="1" x14ac:dyDescent="0.25">
      <c r="A73" s="38"/>
      <c r="B73" s="25"/>
      <c r="C73" s="49"/>
      <c r="D73" s="25"/>
      <c r="E73" s="25"/>
      <c r="F73" s="25"/>
      <c r="G73" s="49"/>
      <c r="H73" s="25"/>
      <c r="I73" s="25"/>
      <c r="J73" s="25"/>
      <c r="K73" s="49"/>
      <c r="L73" s="25"/>
      <c r="M73" s="25"/>
      <c r="N73" s="25"/>
      <c r="O73" s="49"/>
      <c r="P73" s="25"/>
      <c r="Q73" s="25"/>
      <c r="R73" s="25"/>
      <c r="S73" s="49"/>
      <c r="T73" s="25"/>
      <c r="U73" s="25"/>
      <c r="V73" s="25"/>
      <c r="W73" s="49"/>
      <c r="X73" s="25"/>
      <c r="Y73" s="25"/>
      <c r="Z73" s="25"/>
      <c r="AA73" s="49"/>
      <c r="AB73" s="25"/>
      <c r="AC73" s="25"/>
      <c r="AD73" s="25"/>
      <c r="AE73" s="49"/>
      <c r="AF73" s="25"/>
      <c r="AG73" s="25"/>
      <c r="AH73" s="25"/>
      <c r="AI73" s="49"/>
      <c r="AJ73" s="25"/>
      <c r="AK73" s="25"/>
      <c r="AL73" s="25"/>
      <c r="AM73" s="49"/>
      <c r="AN73" s="25"/>
      <c r="AO73" s="25"/>
      <c r="AP73" s="25"/>
      <c r="AQ73" s="49"/>
      <c r="AR73" s="25"/>
      <c r="AS73" s="25"/>
      <c r="AT73" s="25"/>
      <c r="AU73" s="49"/>
      <c r="AV73" s="25"/>
      <c r="AW73" s="25"/>
      <c r="AX73" s="25"/>
      <c r="AY73" s="49"/>
      <c r="AZ73" s="25"/>
      <c r="BA73" s="25"/>
    </row>
    <row r="74" spans="1:53" s="62" customFormat="1" x14ac:dyDescent="0.25">
      <c r="A74" s="31"/>
      <c r="B74"/>
      <c r="C74" s="49"/>
      <c r="D74"/>
      <c r="E74"/>
      <c r="F74"/>
      <c r="G74" s="49"/>
      <c r="H74"/>
      <c r="I74"/>
      <c r="J74"/>
      <c r="K74" s="49"/>
      <c r="L74"/>
      <c r="M74"/>
      <c r="N74"/>
      <c r="O74" s="49"/>
      <c r="P74"/>
      <c r="Q74"/>
      <c r="R74"/>
      <c r="S74" s="49"/>
      <c r="T74"/>
      <c r="U74"/>
      <c r="V74"/>
      <c r="W74" s="49"/>
      <c r="X74"/>
      <c r="Y74"/>
      <c r="Z74"/>
      <c r="AA74" s="49"/>
      <c r="AB74"/>
      <c r="AC74"/>
      <c r="AD74"/>
      <c r="AE74" s="49"/>
      <c r="AF74"/>
      <c r="AG74"/>
      <c r="AH74"/>
      <c r="AI74" s="49"/>
      <c r="AJ74"/>
      <c r="AK74"/>
      <c r="AL74"/>
      <c r="AM74" s="49"/>
      <c r="AN74"/>
      <c r="AO74"/>
      <c r="AP74"/>
      <c r="AQ74" s="49"/>
      <c r="AR74"/>
      <c r="AS74"/>
      <c r="AT74"/>
      <c r="AU74" s="49"/>
      <c r="AV74"/>
      <c r="AW74"/>
      <c r="AX74"/>
      <c r="AY74" s="49"/>
      <c r="AZ74"/>
      <c r="BA74"/>
    </row>
    <row r="75" spans="1:53" s="62" customFormat="1" x14ac:dyDescent="0.25">
      <c r="A75" s="38"/>
      <c r="B75" s="25"/>
      <c r="C75" s="49"/>
      <c r="D75" s="25"/>
      <c r="E75" s="25"/>
      <c r="F75" s="25"/>
      <c r="G75" s="49"/>
      <c r="H75" s="25"/>
      <c r="I75" s="25"/>
      <c r="J75" s="25"/>
      <c r="K75" s="49"/>
      <c r="L75" s="25"/>
      <c r="M75" s="25"/>
      <c r="N75" s="25"/>
      <c r="O75" s="49"/>
      <c r="P75" s="25"/>
      <c r="Q75" s="25"/>
      <c r="R75" s="25"/>
      <c r="S75" s="49"/>
      <c r="T75" s="25"/>
      <c r="U75" s="25"/>
      <c r="V75" s="25"/>
      <c r="W75" s="49"/>
      <c r="X75" s="25"/>
      <c r="Y75" s="25"/>
      <c r="Z75" s="25"/>
      <c r="AA75" s="49"/>
      <c r="AB75" s="25"/>
      <c r="AC75" s="25"/>
      <c r="AD75" s="25"/>
      <c r="AE75" s="49"/>
      <c r="AF75" s="25"/>
      <c r="AG75" s="25"/>
      <c r="AH75" s="25"/>
      <c r="AI75" s="49"/>
      <c r="AJ75" s="25"/>
      <c r="AK75" s="25"/>
      <c r="AL75" s="25"/>
      <c r="AM75" s="49"/>
      <c r="AN75" s="25"/>
      <c r="AO75" s="25"/>
      <c r="AP75" s="25"/>
      <c r="AQ75" s="49"/>
      <c r="AR75" s="25"/>
      <c r="AS75" s="25"/>
      <c r="AT75" s="25"/>
      <c r="AU75" s="49"/>
      <c r="AV75" s="25"/>
      <c r="AW75" s="25"/>
      <c r="AX75" s="25"/>
      <c r="AY75" s="49"/>
      <c r="AZ75" s="25"/>
      <c r="BA75" s="25"/>
    </row>
    <row r="76" spans="1:53" s="62" customFormat="1" x14ac:dyDescent="0.25">
      <c r="A76" s="31"/>
      <c r="B76" s="61"/>
      <c r="C76" s="49"/>
      <c r="D76" s="61"/>
      <c r="E76" s="61"/>
      <c r="F76" s="61"/>
      <c r="G76" s="49"/>
      <c r="H76" s="61"/>
      <c r="I76" s="61"/>
      <c r="J76" s="61"/>
      <c r="K76" s="49"/>
      <c r="L76" s="61"/>
      <c r="M76" s="61"/>
      <c r="N76" s="61"/>
      <c r="O76" s="49"/>
      <c r="P76" s="61"/>
      <c r="Q76" s="61"/>
      <c r="R76" s="61"/>
      <c r="S76" s="49"/>
      <c r="T76" s="61"/>
      <c r="U76" s="61"/>
      <c r="V76" s="61"/>
      <c r="W76" s="49"/>
      <c r="X76" s="61"/>
      <c r="Y76" s="61"/>
      <c r="Z76" s="61"/>
      <c r="AA76" s="49"/>
      <c r="AB76" s="61"/>
      <c r="AC76" s="61"/>
      <c r="AD76" s="61"/>
      <c r="AE76" s="49"/>
      <c r="AF76" s="61"/>
      <c r="AG76" s="61"/>
      <c r="AH76" s="61"/>
      <c r="AI76" s="49"/>
      <c r="AJ76" s="61"/>
      <c r="AK76" s="61"/>
      <c r="AL76" s="61"/>
      <c r="AM76" s="49"/>
      <c r="AN76" s="61"/>
      <c r="AO76" s="61"/>
      <c r="AP76" s="61"/>
      <c r="AQ76" s="49"/>
      <c r="AR76" s="61"/>
      <c r="AS76" s="61"/>
      <c r="AT76" s="61"/>
      <c r="AU76" s="49"/>
      <c r="AV76" s="61"/>
      <c r="AW76" s="61"/>
      <c r="AX76" s="61"/>
      <c r="AY76" s="49"/>
      <c r="AZ76" s="61"/>
      <c r="BA76" s="61"/>
    </row>
    <row r="77" spans="1:53" s="62" customFormat="1" x14ac:dyDescent="0.25">
      <c r="A77" s="38"/>
      <c r="B77" s="25"/>
      <c r="C77" s="49"/>
      <c r="D77" s="25"/>
      <c r="E77" s="25"/>
      <c r="F77" s="25"/>
      <c r="G77" s="49"/>
      <c r="H77" s="25"/>
      <c r="I77" s="25"/>
      <c r="J77" s="25"/>
      <c r="K77" s="49"/>
      <c r="L77" s="25"/>
      <c r="M77" s="25"/>
      <c r="N77" s="25"/>
      <c r="O77" s="49"/>
      <c r="P77" s="25"/>
      <c r="Q77" s="25"/>
      <c r="R77" s="25"/>
      <c r="S77" s="49"/>
      <c r="T77" s="25"/>
      <c r="U77" s="25"/>
      <c r="V77" s="25"/>
      <c r="W77" s="49"/>
      <c r="X77" s="25"/>
      <c r="Y77" s="25"/>
      <c r="Z77" s="25"/>
      <c r="AA77" s="49"/>
      <c r="AB77" s="25"/>
      <c r="AC77" s="25"/>
      <c r="AD77" s="25"/>
      <c r="AE77" s="49"/>
      <c r="AF77" s="25"/>
      <c r="AG77" s="25"/>
      <c r="AH77" s="25"/>
      <c r="AI77" s="49"/>
      <c r="AJ77" s="25"/>
      <c r="AK77" s="25"/>
      <c r="AL77" s="25"/>
      <c r="AM77" s="49"/>
      <c r="AN77" s="25"/>
      <c r="AO77" s="25"/>
      <c r="AP77" s="25"/>
      <c r="AQ77" s="49"/>
      <c r="AR77" s="25"/>
      <c r="AS77" s="25"/>
      <c r="AT77" s="25"/>
      <c r="AU77" s="49"/>
      <c r="AV77" s="25"/>
      <c r="AW77" s="25"/>
      <c r="AX77" s="25"/>
      <c r="AY77" s="49"/>
      <c r="AZ77" s="25"/>
      <c r="BA77" s="25"/>
    </row>
    <row r="78" spans="1:53" s="62" customFormat="1" x14ac:dyDescent="0.25">
      <c r="A78" s="31"/>
      <c r="B78" s="61"/>
      <c r="C78" s="49"/>
      <c r="D78" s="61"/>
      <c r="E78" s="61"/>
      <c r="F78" s="61"/>
      <c r="G78" s="49"/>
      <c r="H78" s="61"/>
      <c r="I78" s="61"/>
      <c r="J78" s="61"/>
      <c r="K78" s="49"/>
      <c r="L78" s="61"/>
      <c r="M78" s="61"/>
      <c r="N78" s="61"/>
      <c r="O78" s="49"/>
      <c r="P78" s="61"/>
      <c r="Q78" s="61"/>
      <c r="R78" s="61"/>
      <c r="S78" s="49"/>
      <c r="T78" s="61"/>
      <c r="U78" s="61"/>
      <c r="V78" s="61"/>
      <c r="W78" s="49"/>
      <c r="X78" s="61"/>
      <c r="Y78" s="61"/>
      <c r="Z78" s="61"/>
      <c r="AA78" s="49"/>
      <c r="AB78" s="61"/>
      <c r="AC78" s="61"/>
      <c r="AD78" s="61"/>
      <c r="AE78" s="49"/>
      <c r="AF78" s="61"/>
      <c r="AG78" s="61"/>
      <c r="AH78" s="61"/>
      <c r="AI78" s="49"/>
      <c r="AJ78" s="61"/>
      <c r="AK78" s="61"/>
      <c r="AL78" s="61"/>
      <c r="AM78" s="49"/>
      <c r="AN78" s="61"/>
      <c r="AO78" s="61"/>
      <c r="AP78" s="61"/>
      <c r="AQ78" s="49"/>
      <c r="AR78" s="61"/>
      <c r="AS78" s="61"/>
      <c r="AT78" s="61"/>
      <c r="AU78" s="49"/>
      <c r="AV78" s="61"/>
      <c r="AW78" s="61"/>
      <c r="AX78" s="61"/>
      <c r="AY78" s="49"/>
      <c r="AZ78" s="61"/>
      <c r="BA78" s="61"/>
    </row>
    <row r="79" spans="1:53" s="62" customFormat="1" x14ac:dyDescent="0.25">
      <c r="A79" s="38"/>
      <c r="B79" s="25"/>
      <c r="C79" s="49"/>
      <c r="D79" s="25"/>
      <c r="E79" s="25"/>
      <c r="F79" s="25"/>
      <c r="G79" s="49"/>
      <c r="H79" s="25"/>
      <c r="I79" s="25"/>
      <c r="J79" s="25"/>
      <c r="K79" s="49"/>
      <c r="L79" s="25"/>
      <c r="M79" s="25"/>
      <c r="N79" s="25"/>
      <c r="O79" s="49"/>
      <c r="P79" s="25"/>
      <c r="Q79" s="25"/>
      <c r="R79" s="25"/>
      <c r="S79" s="49"/>
      <c r="T79" s="25"/>
      <c r="U79" s="25"/>
      <c r="V79" s="25"/>
      <c r="W79" s="49"/>
      <c r="X79" s="25"/>
      <c r="Y79" s="25"/>
      <c r="Z79" s="25"/>
      <c r="AA79" s="49"/>
      <c r="AB79" s="25"/>
      <c r="AC79" s="25"/>
      <c r="AD79" s="25"/>
      <c r="AE79" s="49"/>
      <c r="AF79" s="25"/>
      <c r="AG79" s="25"/>
      <c r="AH79" s="25"/>
      <c r="AI79" s="49"/>
      <c r="AJ79" s="25"/>
      <c r="AK79" s="25"/>
      <c r="AL79" s="25"/>
      <c r="AM79" s="49"/>
      <c r="AN79" s="25"/>
      <c r="AO79" s="25"/>
      <c r="AP79" s="25"/>
      <c r="AQ79" s="49"/>
      <c r="AR79" s="25"/>
      <c r="AS79" s="25"/>
      <c r="AT79" s="25"/>
      <c r="AU79" s="49"/>
      <c r="AV79" s="25"/>
      <c r="AW79" s="25"/>
      <c r="AX79" s="25"/>
      <c r="AY79" s="49"/>
      <c r="AZ79" s="25"/>
      <c r="BA79" s="25"/>
    </row>
    <row r="80" spans="1:53" s="62" customFormat="1" x14ac:dyDescent="0.25">
      <c r="A80" s="31"/>
      <c r="B80"/>
      <c r="C80" s="49"/>
      <c r="D80"/>
      <c r="E80"/>
      <c r="F80"/>
      <c r="G80" s="49"/>
      <c r="H80"/>
      <c r="I80"/>
      <c r="J80"/>
      <c r="K80" s="49"/>
      <c r="L80"/>
      <c r="M80"/>
      <c r="N80"/>
      <c r="O80" s="49"/>
      <c r="P80"/>
      <c r="Q80"/>
      <c r="R80"/>
      <c r="S80" s="49"/>
      <c r="T80"/>
      <c r="U80"/>
      <c r="V80"/>
      <c r="W80" s="49"/>
      <c r="X80"/>
      <c r="Y80"/>
      <c r="Z80"/>
      <c r="AA80" s="49"/>
      <c r="AB80"/>
      <c r="AC80"/>
      <c r="AD80"/>
      <c r="AE80" s="49"/>
      <c r="AF80"/>
      <c r="AG80"/>
      <c r="AH80"/>
      <c r="AI80" s="49"/>
      <c r="AJ80"/>
      <c r="AK80"/>
      <c r="AL80"/>
      <c r="AM80" s="49"/>
      <c r="AN80"/>
      <c r="AO80"/>
      <c r="AP80"/>
      <c r="AQ80" s="49"/>
      <c r="AR80"/>
      <c r="AS80"/>
      <c r="AT80"/>
      <c r="AU80" s="49"/>
      <c r="AV80"/>
      <c r="AW80"/>
      <c r="AX80"/>
      <c r="AY80" s="49"/>
      <c r="AZ80"/>
      <c r="BA80"/>
    </row>
    <row r="81" spans="1:53" s="62" customFormat="1" x14ac:dyDescent="0.25">
      <c r="A81" s="38"/>
      <c r="B81" s="25"/>
      <c r="C81" s="49"/>
      <c r="D81" s="25"/>
      <c r="E81" s="25"/>
      <c r="F81" s="25"/>
      <c r="G81" s="49"/>
      <c r="H81" s="25"/>
      <c r="I81" s="25"/>
      <c r="J81" s="25"/>
      <c r="K81" s="49"/>
      <c r="L81" s="25"/>
      <c r="M81" s="25"/>
      <c r="N81" s="25"/>
      <c r="O81" s="49"/>
      <c r="P81" s="25"/>
      <c r="Q81" s="25"/>
      <c r="R81" s="25"/>
      <c r="S81" s="49"/>
      <c r="T81" s="25"/>
      <c r="U81" s="25"/>
      <c r="V81" s="25"/>
      <c r="W81" s="49"/>
      <c r="X81" s="25"/>
      <c r="Y81" s="25"/>
      <c r="Z81" s="25"/>
      <c r="AA81" s="49"/>
      <c r="AB81" s="25"/>
      <c r="AC81" s="25"/>
      <c r="AD81" s="25"/>
      <c r="AE81" s="49"/>
      <c r="AF81" s="25"/>
      <c r="AG81" s="25"/>
      <c r="AH81" s="25"/>
      <c r="AI81" s="49"/>
      <c r="AJ81" s="25"/>
      <c r="AK81" s="25"/>
      <c r="AL81" s="25"/>
      <c r="AM81" s="49"/>
      <c r="AN81" s="25"/>
      <c r="AO81" s="25"/>
      <c r="AP81" s="25"/>
      <c r="AQ81" s="49"/>
      <c r="AR81" s="25"/>
      <c r="AS81" s="25"/>
      <c r="AT81" s="25"/>
      <c r="AU81" s="49"/>
      <c r="AV81" s="25"/>
      <c r="AW81" s="25"/>
      <c r="AX81" s="25"/>
      <c r="AY81" s="49"/>
      <c r="AZ81" s="25"/>
      <c r="BA81" s="25"/>
    </row>
    <row r="82" spans="1:53" s="62" customFormat="1" x14ac:dyDescent="0.25">
      <c r="A82" s="31"/>
      <c r="B82" s="61"/>
      <c r="C82" s="49"/>
      <c r="D82" s="61"/>
      <c r="E82" s="61"/>
      <c r="F82" s="61"/>
      <c r="G82" s="49"/>
      <c r="H82" s="61"/>
      <c r="I82" s="61"/>
      <c r="J82" s="61"/>
      <c r="K82" s="49"/>
      <c r="L82" s="61"/>
      <c r="M82" s="61"/>
      <c r="N82" s="61"/>
      <c r="O82" s="49"/>
      <c r="P82" s="61"/>
      <c r="Q82" s="61"/>
      <c r="R82" s="61"/>
      <c r="S82" s="49"/>
      <c r="T82" s="61"/>
      <c r="U82" s="61"/>
      <c r="V82" s="61"/>
      <c r="W82" s="49"/>
      <c r="X82" s="61"/>
      <c r="Y82" s="61"/>
      <c r="Z82" s="61"/>
      <c r="AA82" s="49"/>
      <c r="AB82" s="61"/>
      <c r="AC82" s="61"/>
      <c r="AD82" s="61"/>
      <c r="AE82" s="49"/>
      <c r="AF82" s="61"/>
      <c r="AG82" s="61"/>
      <c r="AH82" s="61"/>
      <c r="AI82" s="49"/>
      <c r="AJ82" s="61"/>
      <c r="AK82" s="61"/>
      <c r="AL82" s="61"/>
      <c r="AM82" s="49"/>
      <c r="AN82" s="61"/>
      <c r="AO82" s="61"/>
      <c r="AP82" s="61"/>
      <c r="AQ82" s="49"/>
      <c r="AR82" s="61"/>
      <c r="AS82" s="61"/>
      <c r="AT82" s="61"/>
      <c r="AU82" s="49"/>
      <c r="AV82" s="61"/>
      <c r="AW82" s="61"/>
      <c r="AX82" s="61"/>
      <c r="AY82" s="49"/>
      <c r="AZ82" s="61"/>
      <c r="BA82" s="61"/>
    </row>
    <row r="83" spans="1:53" s="62" customFormat="1" x14ac:dyDescent="0.25">
      <c r="A83" s="38"/>
      <c r="B83" s="25"/>
      <c r="C83" s="49"/>
      <c r="D83" s="25"/>
      <c r="E83" s="25"/>
      <c r="F83" s="25"/>
      <c r="G83" s="49"/>
      <c r="H83" s="25"/>
      <c r="I83" s="25"/>
      <c r="J83" s="25"/>
      <c r="K83" s="49"/>
      <c r="L83" s="25"/>
      <c r="M83" s="25"/>
      <c r="N83" s="25"/>
      <c r="O83" s="49"/>
      <c r="P83" s="25"/>
      <c r="Q83" s="25"/>
      <c r="R83" s="25"/>
      <c r="S83" s="49"/>
      <c r="T83" s="25"/>
      <c r="U83" s="25"/>
      <c r="V83" s="25"/>
      <c r="W83" s="49"/>
      <c r="X83" s="25"/>
      <c r="Y83" s="25"/>
      <c r="Z83" s="25"/>
      <c r="AA83" s="49"/>
      <c r="AB83" s="25"/>
      <c r="AC83" s="25"/>
      <c r="AD83" s="25"/>
      <c r="AE83" s="49"/>
      <c r="AF83" s="25"/>
      <c r="AG83" s="25"/>
      <c r="AH83" s="25"/>
      <c r="AI83" s="49"/>
      <c r="AJ83" s="25"/>
      <c r="AK83" s="25"/>
      <c r="AL83" s="25"/>
      <c r="AM83" s="49"/>
      <c r="AN83" s="25"/>
      <c r="AO83" s="25"/>
      <c r="AP83" s="25"/>
      <c r="AQ83" s="49"/>
      <c r="AR83" s="25"/>
      <c r="AS83" s="25"/>
      <c r="AT83" s="25"/>
      <c r="AU83" s="49"/>
      <c r="AV83" s="25"/>
      <c r="AW83" s="25"/>
      <c r="AX83" s="25"/>
      <c r="AY83" s="49"/>
      <c r="AZ83" s="25"/>
      <c r="BA83" s="25"/>
    </row>
    <row r="84" spans="1:53" s="62" customFormat="1" x14ac:dyDescent="0.25">
      <c r="A84" s="31"/>
      <c r="B84" s="61"/>
      <c r="C84" s="49"/>
      <c r="D84" s="61"/>
      <c r="E84" s="61"/>
      <c r="F84" s="61"/>
      <c r="G84" s="49"/>
      <c r="H84" s="61"/>
      <c r="I84" s="61"/>
      <c r="J84" s="61"/>
      <c r="K84" s="49"/>
      <c r="L84" s="61"/>
      <c r="M84" s="61"/>
      <c r="N84" s="61"/>
      <c r="O84" s="49"/>
      <c r="P84" s="61"/>
      <c r="Q84" s="61"/>
      <c r="R84" s="61"/>
      <c r="S84" s="49"/>
      <c r="T84" s="61"/>
      <c r="U84" s="61"/>
      <c r="V84" s="61"/>
      <c r="W84" s="49"/>
      <c r="X84" s="61"/>
      <c r="Y84" s="61"/>
      <c r="Z84" s="61"/>
      <c r="AA84" s="49"/>
      <c r="AB84" s="61"/>
      <c r="AC84" s="61"/>
      <c r="AD84" s="61"/>
      <c r="AE84" s="49"/>
      <c r="AF84" s="61"/>
      <c r="AG84" s="61"/>
      <c r="AH84" s="61"/>
      <c r="AI84" s="49"/>
      <c r="AJ84" s="61"/>
      <c r="AK84" s="61"/>
      <c r="AL84" s="61"/>
      <c r="AM84" s="49"/>
      <c r="AN84" s="61"/>
      <c r="AO84" s="61"/>
      <c r="AP84" s="61"/>
      <c r="AQ84" s="49"/>
      <c r="AR84" s="61"/>
      <c r="AS84" s="61"/>
      <c r="AT84" s="61"/>
      <c r="AU84" s="49"/>
      <c r="AV84" s="61"/>
      <c r="AW84" s="61"/>
      <c r="AX84" s="61"/>
      <c r="AY84" s="49"/>
      <c r="AZ84" s="61"/>
      <c r="BA84" s="61"/>
    </row>
    <row r="85" spans="1:53" s="62" customFormat="1" x14ac:dyDescent="0.25">
      <c r="A85" s="38"/>
      <c r="B85" s="25"/>
      <c r="C85" s="49"/>
      <c r="D85" s="25"/>
      <c r="E85" s="25"/>
      <c r="F85" s="25"/>
      <c r="G85" s="49"/>
      <c r="H85" s="25"/>
      <c r="I85" s="25"/>
      <c r="J85" s="25"/>
      <c r="K85" s="49"/>
      <c r="L85" s="25"/>
      <c r="M85" s="25"/>
      <c r="N85" s="25"/>
      <c r="O85" s="49"/>
      <c r="P85" s="25"/>
      <c r="Q85" s="25"/>
      <c r="R85" s="25"/>
      <c r="S85" s="49"/>
      <c r="T85" s="25"/>
      <c r="U85" s="25"/>
      <c r="V85" s="25"/>
      <c r="W85" s="49"/>
      <c r="X85" s="25"/>
      <c r="Y85" s="25"/>
      <c r="Z85" s="25"/>
      <c r="AA85" s="49"/>
      <c r="AB85" s="25"/>
      <c r="AC85" s="25"/>
      <c r="AD85" s="25"/>
      <c r="AE85" s="49"/>
      <c r="AF85" s="25"/>
      <c r="AG85" s="25"/>
      <c r="AH85" s="25"/>
      <c r="AI85" s="49"/>
      <c r="AJ85" s="25"/>
      <c r="AK85" s="25"/>
      <c r="AL85" s="25"/>
      <c r="AM85" s="49"/>
      <c r="AN85" s="25"/>
      <c r="AO85" s="25"/>
      <c r="AP85" s="25"/>
      <c r="AQ85" s="49"/>
      <c r="AR85" s="25"/>
      <c r="AS85" s="25"/>
      <c r="AT85" s="25"/>
      <c r="AU85" s="49"/>
      <c r="AV85" s="25"/>
      <c r="AW85" s="25"/>
      <c r="AX85" s="25"/>
      <c r="AY85" s="49"/>
      <c r="AZ85" s="25"/>
      <c r="BA85" s="25"/>
    </row>
    <row r="86" spans="1:53" s="62" customFormat="1" x14ac:dyDescent="0.25">
      <c r="A86" s="31"/>
      <c r="B86" s="61"/>
      <c r="C86" s="49"/>
      <c r="D86" s="61"/>
      <c r="E86" s="61"/>
      <c r="F86" s="61"/>
      <c r="G86" s="49"/>
      <c r="H86" s="61"/>
      <c r="I86" s="61"/>
      <c r="J86" s="61"/>
      <c r="K86" s="49"/>
      <c r="L86" s="61"/>
      <c r="M86" s="61"/>
      <c r="N86" s="61"/>
      <c r="O86" s="49"/>
      <c r="P86" s="61"/>
      <c r="Q86" s="61"/>
      <c r="R86" s="61"/>
      <c r="S86" s="49"/>
      <c r="T86" s="61"/>
      <c r="U86" s="61"/>
      <c r="V86" s="61"/>
      <c r="W86" s="49"/>
      <c r="X86" s="61"/>
      <c r="Y86" s="61"/>
      <c r="Z86" s="61"/>
      <c r="AA86" s="49"/>
      <c r="AB86" s="61"/>
      <c r="AC86" s="61"/>
      <c r="AD86" s="61"/>
      <c r="AE86" s="49"/>
      <c r="AF86" s="61"/>
      <c r="AG86" s="61"/>
      <c r="AH86" s="61"/>
      <c r="AI86" s="49"/>
      <c r="AJ86" s="61"/>
      <c r="AK86" s="61"/>
      <c r="AL86" s="61"/>
      <c r="AM86" s="49"/>
      <c r="AN86" s="61"/>
      <c r="AO86" s="61"/>
      <c r="AP86" s="61"/>
      <c r="AQ86" s="49"/>
      <c r="AR86" s="61"/>
      <c r="AS86" s="61"/>
      <c r="AT86" s="61"/>
      <c r="AU86" s="49"/>
      <c r="AV86" s="61"/>
      <c r="AW86" s="61"/>
      <c r="AX86" s="61"/>
      <c r="AY86" s="49"/>
      <c r="AZ86" s="61"/>
      <c r="BA86" s="61"/>
    </row>
    <row r="87" spans="1:53" s="62" customFormat="1" x14ac:dyDescent="0.25">
      <c r="A87" s="38"/>
      <c r="B87" s="25"/>
      <c r="C87" s="49"/>
      <c r="D87" s="25"/>
      <c r="E87" s="25"/>
      <c r="F87" s="25"/>
      <c r="G87" s="49"/>
      <c r="H87" s="25"/>
      <c r="I87" s="25"/>
      <c r="J87" s="25"/>
      <c r="K87" s="49"/>
      <c r="L87" s="25"/>
      <c r="M87" s="25"/>
      <c r="N87" s="25"/>
      <c r="O87" s="49"/>
      <c r="P87" s="25"/>
      <c r="Q87" s="25"/>
      <c r="R87" s="25"/>
      <c r="S87" s="49"/>
      <c r="T87" s="25"/>
      <c r="U87" s="25"/>
      <c r="V87" s="25"/>
      <c r="W87" s="49"/>
      <c r="X87" s="25"/>
      <c r="Y87" s="25"/>
      <c r="Z87" s="25"/>
      <c r="AA87" s="49"/>
      <c r="AB87" s="25"/>
      <c r="AC87" s="25"/>
      <c r="AD87" s="25"/>
      <c r="AE87" s="49"/>
      <c r="AF87" s="25"/>
      <c r="AG87" s="25"/>
      <c r="AH87" s="25"/>
      <c r="AI87" s="49"/>
      <c r="AJ87" s="25"/>
      <c r="AK87" s="25"/>
      <c r="AL87" s="25"/>
      <c r="AM87" s="49"/>
      <c r="AN87" s="25"/>
      <c r="AO87" s="25"/>
      <c r="AP87" s="25"/>
      <c r="AQ87" s="49"/>
      <c r="AR87" s="25"/>
      <c r="AS87" s="25"/>
      <c r="AT87" s="25"/>
      <c r="AU87" s="49"/>
      <c r="AV87" s="25"/>
      <c r="AW87" s="25"/>
      <c r="AX87" s="25"/>
      <c r="AY87" s="49"/>
      <c r="AZ87" s="25"/>
      <c r="BA87" s="25"/>
    </row>
    <row r="88" spans="1:53" s="62" customFormat="1" x14ac:dyDescent="0.25">
      <c r="A88" s="31"/>
      <c r="B88"/>
      <c r="C88" s="49"/>
      <c r="D88"/>
      <c r="E88"/>
      <c r="F88"/>
      <c r="G88" s="49"/>
      <c r="H88"/>
      <c r="I88"/>
      <c r="J88"/>
      <c r="K88" s="49"/>
      <c r="L88"/>
      <c r="M88"/>
      <c r="N88"/>
      <c r="O88" s="49"/>
      <c r="P88"/>
      <c r="Q88"/>
      <c r="R88"/>
      <c r="S88" s="49"/>
      <c r="T88"/>
      <c r="U88"/>
      <c r="V88"/>
      <c r="W88" s="49"/>
      <c r="X88"/>
      <c r="Y88"/>
      <c r="Z88"/>
      <c r="AA88" s="49"/>
      <c r="AB88"/>
      <c r="AC88"/>
      <c r="AD88"/>
      <c r="AE88" s="49"/>
      <c r="AF88"/>
      <c r="AG88"/>
      <c r="AH88"/>
      <c r="AI88" s="49"/>
      <c r="AJ88"/>
      <c r="AK88"/>
      <c r="AL88"/>
      <c r="AM88" s="49"/>
      <c r="AN88"/>
      <c r="AO88"/>
      <c r="AP88"/>
      <c r="AQ88" s="49"/>
      <c r="AR88"/>
      <c r="AS88"/>
      <c r="AT88"/>
      <c r="AU88" s="49"/>
      <c r="AV88"/>
      <c r="AW88"/>
      <c r="AX88"/>
      <c r="AY88" s="49"/>
      <c r="AZ88"/>
      <c r="BA88"/>
    </row>
    <row r="89" spans="1:53" s="62" customFormat="1" x14ac:dyDescent="0.25">
      <c r="A89" s="38"/>
      <c r="B89" s="25"/>
      <c r="C89" s="49"/>
      <c r="D89" s="25"/>
      <c r="E89" s="25"/>
      <c r="F89" s="25"/>
      <c r="G89" s="49"/>
      <c r="H89" s="25"/>
      <c r="I89" s="25"/>
      <c r="J89" s="25"/>
      <c r="K89" s="49"/>
      <c r="L89" s="25"/>
      <c r="M89" s="25"/>
      <c r="N89" s="25"/>
      <c r="O89" s="49"/>
      <c r="P89" s="25"/>
      <c r="Q89" s="25"/>
      <c r="R89" s="25"/>
      <c r="S89" s="49"/>
      <c r="T89" s="25"/>
      <c r="U89" s="25"/>
      <c r="V89" s="25"/>
      <c r="W89" s="49"/>
      <c r="X89" s="25"/>
      <c r="Y89" s="25"/>
      <c r="Z89" s="25"/>
      <c r="AA89" s="49"/>
      <c r="AB89" s="25"/>
      <c r="AC89" s="25"/>
      <c r="AD89" s="25"/>
      <c r="AE89" s="49"/>
      <c r="AF89" s="25"/>
      <c r="AG89" s="25"/>
      <c r="AH89" s="25"/>
      <c r="AI89" s="49"/>
      <c r="AJ89" s="25"/>
      <c r="AK89" s="25"/>
      <c r="AL89" s="25"/>
      <c r="AM89" s="49"/>
      <c r="AN89" s="25"/>
      <c r="AO89" s="25"/>
      <c r="AP89" s="25"/>
      <c r="AQ89" s="49"/>
      <c r="AR89" s="25"/>
      <c r="AS89" s="25"/>
      <c r="AT89" s="25"/>
      <c r="AU89" s="49"/>
      <c r="AV89" s="25"/>
      <c r="AW89" s="25"/>
      <c r="AX89" s="25"/>
      <c r="AY89" s="49"/>
      <c r="AZ89" s="25"/>
      <c r="BA89" s="25"/>
    </row>
    <row r="90" spans="1:53" s="62" customFormat="1" x14ac:dyDescent="0.25">
      <c r="A90" s="31"/>
      <c r="B90" s="61"/>
      <c r="C90" s="49"/>
      <c r="D90" s="61"/>
      <c r="E90" s="61"/>
      <c r="F90" s="61"/>
      <c r="G90" s="49"/>
      <c r="H90" s="61"/>
      <c r="I90" s="61"/>
      <c r="J90" s="61"/>
      <c r="K90" s="49"/>
      <c r="L90" s="61"/>
      <c r="M90" s="61"/>
      <c r="N90" s="61"/>
      <c r="O90" s="49"/>
      <c r="P90" s="61"/>
      <c r="Q90" s="61"/>
      <c r="R90" s="61"/>
      <c r="S90" s="49"/>
      <c r="T90" s="61"/>
      <c r="U90" s="61"/>
      <c r="V90" s="61"/>
      <c r="W90" s="49"/>
      <c r="X90" s="61"/>
      <c r="Y90" s="61"/>
      <c r="Z90" s="61"/>
      <c r="AA90" s="49"/>
      <c r="AB90" s="61"/>
      <c r="AC90" s="61"/>
      <c r="AD90" s="61"/>
      <c r="AE90" s="49"/>
      <c r="AF90" s="61"/>
      <c r="AG90" s="61"/>
      <c r="AH90" s="61"/>
      <c r="AI90" s="49"/>
      <c r="AJ90" s="61"/>
      <c r="AK90" s="61"/>
      <c r="AL90" s="61"/>
      <c r="AM90" s="49"/>
      <c r="AN90" s="61"/>
      <c r="AO90" s="61"/>
      <c r="AP90" s="61"/>
      <c r="AQ90" s="49"/>
      <c r="AR90" s="61"/>
      <c r="AS90" s="61"/>
      <c r="AT90" s="61"/>
      <c r="AU90" s="49"/>
      <c r="AV90" s="61"/>
      <c r="AW90" s="61"/>
      <c r="AX90" s="61"/>
      <c r="AY90" s="49"/>
      <c r="AZ90" s="61"/>
      <c r="BA90" s="61"/>
    </row>
    <row r="91" spans="1:53" s="62" customFormat="1" x14ac:dyDescent="0.25">
      <c r="A91" s="38"/>
      <c r="B91" s="25"/>
      <c r="C91" s="49"/>
      <c r="D91" s="25"/>
      <c r="E91" s="25"/>
      <c r="F91" s="25"/>
      <c r="G91" s="49"/>
      <c r="H91" s="25"/>
      <c r="I91" s="25"/>
      <c r="J91" s="25"/>
      <c r="K91" s="49"/>
      <c r="L91" s="25"/>
      <c r="M91" s="25"/>
      <c r="N91" s="25"/>
      <c r="O91" s="49"/>
      <c r="P91" s="25"/>
      <c r="Q91" s="25"/>
      <c r="R91" s="25"/>
      <c r="S91" s="49"/>
      <c r="T91" s="25"/>
      <c r="U91" s="25"/>
      <c r="V91" s="25"/>
      <c r="W91" s="49"/>
      <c r="X91" s="25"/>
      <c r="Y91" s="25"/>
      <c r="Z91" s="25"/>
      <c r="AA91" s="49"/>
      <c r="AB91" s="25"/>
      <c r="AC91" s="25"/>
      <c r="AD91" s="25"/>
      <c r="AE91" s="49"/>
      <c r="AF91" s="25"/>
      <c r="AG91" s="25"/>
      <c r="AH91" s="25"/>
      <c r="AI91" s="49"/>
      <c r="AJ91" s="25"/>
      <c r="AK91" s="25"/>
      <c r="AL91" s="25"/>
      <c r="AM91" s="49"/>
      <c r="AN91" s="25"/>
      <c r="AO91" s="25"/>
      <c r="AP91" s="25"/>
      <c r="AQ91" s="49"/>
      <c r="AR91" s="25"/>
      <c r="AS91" s="25"/>
      <c r="AT91" s="25"/>
      <c r="AU91" s="49"/>
      <c r="AV91" s="25"/>
      <c r="AW91" s="25"/>
      <c r="AX91" s="25"/>
      <c r="AY91" s="49"/>
      <c r="AZ91" s="25"/>
      <c r="BA91" s="25"/>
    </row>
    <row r="92" spans="1:53" s="62" customFormat="1" x14ac:dyDescent="0.25">
      <c r="A92" s="31"/>
      <c r="B92" s="61"/>
      <c r="C92" s="49"/>
      <c r="D92" s="61"/>
      <c r="E92" s="61"/>
      <c r="F92" s="61"/>
      <c r="G92" s="49"/>
      <c r="H92" s="61"/>
      <c r="I92" s="61"/>
      <c r="J92" s="61"/>
      <c r="K92" s="49"/>
      <c r="L92" s="61"/>
      <c r="M92" s="61"/>
      <c r="N92" s="61"/>
      <c r="O92" s="49"/>
      <c r="P92" s="61"/>
      <c r="Q92" s="61"/>
      <c r="R92" s="61"/>
      <c r="S92" s="49"/>
      <c r="T92" s="61"/>
      <c r="U92" s="61"/>
      <c r="V92" s="61"/>
      <c r="W92" s="49"/>
      <c r="X92" s="61"/>
      <c r="Y92" s="61"/>
      <c r="Z92" s="61"/>
      <c r="AA92" s="49"/>
      <c r="AB92" s="61"/>
      <c r="AC92" s="61"/>
      <c r="AD92" s="61"/>
      <c r="AE92" s="49"/>
      <c r="AF92" s="61"/>
      <c r="AG92" s="61"/>
      <c r="AH92" s="61"/>
      <c r="AI92" s="49"/>
      <c r="AJ92" s="61"/>
      <c r="AK92" s="61"/>
      <c r="AL92" s="61"/>
      <c r="AM92" s="49"/>
      <c r="AN92" s="61"/>
      <c r="AO92" s="61"/>
      <c r="AP92" s="61"/>
      <c r="AQ92" s="49"/>
      <c r="AR92" s="61"/>
      <c r="AS92" s="61"/>
      <c r="AT92" s="61"/>
      <c r="AU92" s="49"/>
      <c r="AV92" s="61"/>
      <c r="AW92" s="61"/>
      <c r="AX92" s="61"/>
      <c r="AY92" s="49"/>
      <c r="AZ92" s="61"/>
      <c r="BA92" s="61"/>
    </row>
    <row r="93" spans="1:53" s="62" customFormat="1" x14ac:dyDescent="0.25">
      <c r="A93" s="38"/>
      <c r="B93" s="25"/>
      <c r="C93" s="49"/>
      <c r="D93" s="25"/>
      <c r="E93" s="25"/>
      <c r="F93" s="25"/>
      <c r="G93" s="49"/>
      <c r="H93" s="25"/>
      <c r="I93" s="25"/>
      <c r="J93" s="25"/>
      <c r="K93" s="49"/>
      <c r="L93" s="25"/>
      <c r="M93" s="25"/>
      <c r="N93" s="25"/>
      <c r="O93" s="49"/>
      <c r="P93" s="25"/>
      <c r="Q93" s="25"/>
      <c r="R93" s="25"/>
      <c r="S93" s="49"/>
      <c r="T93" s="25"/>
      <c r="U93" s="25"/>
      <c r="V93" s="25"/>
      <c r="W93" s="49"/>
      <c r="X93" s="25"/>
      <c r="Y93" s="25"/>
      <c r="Z93" s="25"/>
      <c r="AA93" s="49"/>
      <c r="AB93" s="25"/>
      <c r="AC93" s="25"/>
      <c r="AD93" s="25"/>
      <c r="AE93" s="49"/>
      <c r="AF93" s="25"/>
      <c r="AG93" s="25"/>
      <c r="AH93" s="25"/>
      <c r="AI93" s="49"/>
      <c r="AJ93" s="25"/>
      <c r="AK93" s="25"/>
      <c r="AL93" s="25"/>
      <c r="AM93" s="49"/>
      <c r="AN93" s="25"/>
      <c r="AO93" s="25"/>
      <c r="AP93" s="25"/>
      <c r="AQ93" s="49"/>
      <c r="AR93" s="25"/>
      <c r="AS93" s="25"/>
      <c r="AT93" s="25"/>
      <c r="AU93" s="49"/>
      <c r="AV93" s="25"/>
      <c r="AW93" s="25"/>
      <c r="AX93" s="25"/>
      <c r="AY93" s="49"/>
      <c r="AZ93" s="25"/>
      <c r="BA93" s="25"/>
    </row>
    <row r="94" spans="1:53" s="62" customFormat="1" x14ac:dyDescent="0.25">
      <c r="A94" s="31"/>
      <c r="B94" s="61"/>
      <c r="C94" s="49"/>
      <c r="D94" s="61"/>
      <c r="E94" s="61"/>
      <c r="F94" s="61"/>
      <c r="G94" s="49"/>
      <c r="H94" s="61"/>
      <c r="I94" s="61"/>
      <c r="J94" s="61"/>
      <c r="K94" s="49"/>
      <c r="L94" s="61"/>
      <c r="M94" s="61"/>
      <c r="N94" s="61"/>
      <c r="O94" s="49"/>
      <c r="P94" s="61"/>
      <c r="Q94" s="61"/>
      <c r="R94" s="61"/>
      <c r="S94" s="49"/>
      <c r="T94" s="61"/>
      <c r="U94" s="61"/>
      <c r="V94" s="61"/>
      <c r="W94" s="49"/>
      <c r="X94" s="61"/>
      <c r="Y94" s="61"/>
      <c r="Z94" s="61"/>
      <c r="AA94" s="49"/>
      <c r="AB94" s="61"/>
      <c r="AC94" s="61"/>
      <c r="AD94" s="61"/>
      <c r="AE94" s="49"/>
      <c r="AF94" s="61"/>
      <c r="AG94" s="61"/>
      <c r="AH94" s="61"/>
      <c r="AI94" s="49"/>
      <c r="AJ94" s="61"/>
      <c r="AK94" s="61"/>
      <c r="AL94" s="61"/>
      <c r="AM94" s="49"/>
      <c r="AN94" s="61"/>
      <c r="AO94" s="61"/>
      <c r="AP94" s="61"/>
      <c r="AQ94" s="49"/>
      <c r="AR94" s="61"/>
      <c r="AS94" s="61"/>
      <c r="AT94" s="61"/>
      <c r="AU94" s="49"/>
      <c r="AV94" s="61"/>
      <c r="AW94" s="61"/>
      <c r="AX94" s="61"/>
      <c r="AY94" s="49"/>
      <c r="AZ94" s="61"/>
      <c r="BA94" s="61"/>
    </row>
    <row r="95" spans="1:53" s="62" customFormat="1" x14ac:dyDescent="0.25">
      <c r="A95" s="38"/>
      <c r="B95" s="25"/>
      <c r="C95" s="49"/>
      <c r="D95" s="25"/>
      <c r="E95" s="25"/>
      <c r="F95" s="25"/>
      <c r="G95" s="49"/>
      <c r="H95" s="25"/>
      <c r="I95" s="25"/>
      <c r="J95" s="25"/>
      <c r="K95" s="49"/>
      <c r="L95" s="25"/>
      <c r="M95" s="25"/>
      <c r="N95" s="25"/>
      <c r="O95" s="49"/>
      <c r="P95" s="25"/>
      <c r="Q95" s="25"/>
      <c r="R95" s="25"/>
      <c r="S95" s="49"/>
      <c r="T95" s="25"/>
      <c r="U95" s="25"/>
      <c r="V95" s="25"/>
      <c r="W95" s="49"/>
      <c r="X95" s="25"/>
      <c r="Y95" s="25"/>
      <c r="Z95" s="25"/>
      <c r="AA95" s="49"/>
      <c r="AB95" s="25"/>
      <c r="AC95" s="25"/>
      <c r="AD95" s="25"/>
      <c r="AE95" s="49"/>
      <c r="AF95" s="25"/>
      <c r="AG95" s="25"/>
      <c r="AH95" s="25"/>
      <c r="AI95" s="49"/>
      <c r="AJ95" s="25"/>
      <c r="AK95" s="25"/>
      <c r="AL95" s="25"/>
      <c r="AM95" s="49"/>
      <c r="AN95" s="25"/>
      <c r="AO95" s="25"/>
      <c r="AP95" s="25"/>
      <c r="AQ95" s="49"/>
      <c r="AR95" s="25"/>
      <c r="AS95" s="25"/>
      <c r="AT95" s="25"/>
      <c r="AU95" s="49"/>
      <c r="AV95" s="25"/>
      <c r="AW95" s="25"/>
      <c r="AX95" s="25"/>
      <c r="AY95" s="49"/>
      <c r="AZ95" s="25"/>
      <c r="BA95" s="25"/>
    </row>
    <row r="96" spans="1:53" s="62" customFormat="1" x14ac:dyDescent="0.25">
      <c r="A96" s="31"/>
      <c r="B96" s="61"/>
      <c r="C96" s="49"/>
      <c r="D96" s="61"/>
      <c r="E96" s="61"/>
      <c r="F96" s="61"/>
      <c r="G96" s="49"/>
      <c r="H96" s="61"/>
      <c r="I96" s="61"/>
      <c r="J96" s="61"/>
      <c r="K96" s="49"/>
      <c r="L96" s="61"/>
      <c r="M96" s="61"/>
      <c r="N96" s="61"/>
      <c r="O96" s="49"/>
      <c r="P96" s="61"/>
      <c r="Q96" s="61"/>
      <c r="R96" s="61"/>
      <c r="S96" s="49"/>
      <c r="T96" s="61"/>
      <c r="U96" s="61"/>
      <c r="V96" s="61"/>
      <c r="W96" s="49"/>
      <c r="X96" s="61"/>
      <c r="Y96" s="61"/>
      <c r="Z96" s="61"/>
      <c r="AA96" s="49"/>
      <c r="AB96" s="61"/>
      <c r="AC96" s="61"/>
      <c r="AD96" s="61"/>
      <c r="AE96" s="49"/>
      <c r="AF96" s="61"/>
      <c r="AG96" s="61"/>
      <c r="AH96" s="61"/>
      <c r="AI96" s="49"/>
      <c r="AJ96" s="61"/>
      <c r="AK96" s="61"/>
      <c r="AL96" s="61"/>
      <c r="AM96" s="49"/>
      <c r="AN96" s="61"/>
      <c r="AO96" s="61"/>
      <c r="AP96" s="61"/>
      <c r="AQ96" s="49"/>
      <c r="AR96" s="61"/>
      <c r="AS96" s="61"/>
      <c r="AT96" s="61"/>
      <c r="AU96" s="49"/>
      <c r="AV96" s="61"/>
      <c r="AW96" s="61"/>
      <c r="AX96" s="61"/>
      <c r="AY96" s="49"/>
      <c r="AZ96" s="61"/>
      <c r="BA96" s="61"/>
    </row>
    <row r="97" spans="1:53" s="62" customFormat="1" x14ac:dyDescent="0.25">
      <c r="A97" s="38"/>
      <c r="B97" s="25"/>
      <c r="C97" s="49"/>
      <c r="D97" s="25"/>
      <c r="E97" s="25"/>
      <c r="F97" s="25"/>
      <c r="G97" s="49"/>
      <c r="H97" s="25"/>
      <c r="I97" s="25"/>
      <c r="J97" s="25"/>
      <c r="K97" s="49"/>
      <c r="L97" s="25"/>
      <c r="M97" s="25"/>
      <c r="N97" s="25"/>
      <c r="O97" s="49"/>
      <c r="P97" s="25"/>
      <c r="Q97" s="25"/>
      <c r="R97" s="25"/>
      <c r="S97" s="49"/>
      <c r="T97" s="25"/>
      <c r="U97" s="25"/>
      <c r="V97" s="25"/>
      <c r="W97" s="49"/>
      <c r="X97" s="25"/>
      <c r="Y97" s="25"/>
      <c r="Z97" s="25"/>
      <c r="AA97" s="49"/>
      <c r="AB97" s="25"/>
      <c r="AC97" s="25"/>
      <c r="AD97" s="25"/>
      <c r="AE97" s="49"/>
      <c r="AF97" s="25"/>
      <c r="AG97" s="25"/>
      <c r="AH97" s="25"/>
      <c r="AI97" s="49"/>
      <c r="AJ97" s="25"/>
      <c r="AK97" s="25"/>
      <c r="AL97" s="25"/>
      <c r="AM97" s="49"/>
      <c r="AN97" s="25"/>
      <c r="AO97" s="25"/>
      <c r="AP97" s="25"/>
      <c r="AQ97" s="49"/>
      <c r="AR97" s="25"/>
      <c r="AS97" s="25"/>
      <c r="AT97" s="25"/>
      <c r="AU97" s="49"/>
      <c r="AV97" s="25"/>
      <c r="AW97" s="25"/>
      <c r="AX97" s="25"/>
      <c r="AY97" s="49"/>
      <c r="AZ97" s="25"/>
      <c r="BA97" s="25"/>
    </row>
    <row r="98" spans="1:53" s="62" customFormat="1" x14ac:dyDescent="0.25">
      <c r="A98" s="31"/>
      <c r="B98" s="61"/>
      <c r="C98" s="49"/>
      <c r="D98" s="61"/>
      <c r="E98" s="61"/>
      <c r="F98" s="61"/>
      <c r="G98" s="49"/>
      <c r="H98" s="61"/>
      <c r="I98" s="61"/>
      <c r="J98" s="61"/>
      <c r="K98" s="49"/>
      <c r="L98" s="61"/>
      <c r="M98" s="61"/>
      <c r="N98" s="61"/>
      <c r="O98" s="49"/>
      <c r="P98" s="61"/>
      <c r="Q98" s="61"/>
      <c r="R98" s="61"/>
      <c r="S98" s="49"/>
      <c r="T98" s="61"/>
      <c r="U98" s="61"/>
      <c r="V98" s="61"/>
      <c r="W98" s="49"/>
      <c r="X98" s="61"/>
      <c r="Y98" s="61"/>
      <c r="Z98" s="61"/>
      <c r="AA98" s="49"/>
      <c r="AB98" s="61"/>
      <c r="AC98" s="61"/>
      <c r="AD98" s="61"/>
      <c r="AE98" s="49"/>
      <c r="AF98" s="61"/>
      <c r="AG98" s="61"/>
      <c r="AH98" s="61"/>
      <c r="AI98" s="49"/>
      <c r="AJ98" s="61"/>
      <c r="AK98" s="61"/>
      <c r="AL98" s="61"/>
      <c r="AM98" s="49"/>
      <c r="AN98" s="61"/>
      <c r="AO98" s="61"/>
      <c r="AP98" s="61"/>
      <c r="AQ98" s="49"/>
      <c r="AR98" s="61"/>
      <c r="AS98" s="61"/>
      <c r="AT98" s="61"/>
      <c r="AU98" s="49"/>
      <c r="AV98" s="61"/>
      <c r="AW98" s="61"/>
      <c r="AX98" s="61"/>
      <c r="AY98" s="49"/>
      <c r="AZ98" s="61"/>
      <c r="BA98" s="61"/>
    </row>
    <row r="99" spans="1:53" s="62" customFormat="1" x14ac:dyDescent="0.25">
      <c r="A99" s="38"/>
      <c r="B99" s="25"/>
      <c r="C99" s="49"/>
      <c r="D99" s="25"/>
      <c r="E99" s="25"/>
      <c r="F99" s="25"/>
      <c r="G99" s="49"/>
      <c r="H99" s="25"/>
      <c r="I99" s="25"/>
      <c r="J99" s="25"/>
      <c r="K99" s="49"/>
      <c r="L99" s="25"/>
      <c r="M99" s="25"/>
      <c r="N99" s="25"/>
      <c r="O99" s="49"/>
      <c r="P99" s="25"/>
      <c r="Q99" s="25"/>
      <c r="R99" s="25"/>
      <c r="S99" s="49"/>
      <c r="T99" s="25"/>
      <c r="U99" s="25"/>
      <c r="V99" s="25"/>
      <c r="W99" s="49"/>
      <c r="X99" s="25"/>
      <c r="Y99" s="25"/>
      <c r="Z99" s="25"/>
      <c r="AA99" s="49"/>
      <c r="AB99" s="25"/>
      <c r="AC99" s="25"/>
      <c r="AD99" s="25"/>
      <c r="AE99" s="49"/>
      <c r="AF99" s="25"/>
      <c r="AG99" s="25"/>
      <c r="AH99" s="25"/>
      <c r="AI99" s="49"/>
      <c r="AJ99" s="25"/>
      <c r="AK99" s="25"/>
      <c r="AL99" s="25"/>
      <c r="AM99" s="49"/>
      <c r="AN99" s="25"/>
      <c r="AO99" s="25"/>
      <c r="AP99" s="25"/>
      <c r="AQ99" s="49"/>
      <c r="AR99" s="25"/>
      <c r="AS99" s="25"/>
      <c r="AT99" s="25"/>
      <c r="AU99" s="49"/>
      <c r="AV99" s="25"/>
      <c r="AW99" s="25"/>
      <c r="AX99" s="25"/>
      <c r="AY99" s="49"/>
      <c r="AZ99" s="25"/>
      <c r="BA99" s="25"/>
    </row>
    <row r="100" spans="1:53" s="62" customFormat="1" x14ac:dyDescent="0.25">
      <c r="A100" s="31"/>
      <c r="B100" s="61"/>
      <c r="C100" s="49"/>
      <c r="D100" s="61"/>
      <c r="E100" s="61"/>
      <c r="F100" s="61"/>
      <c r="G100" s="49"/>
      <c r="H100" s="61"/>
      <c r="I100" s="61"/>
      <c r="J100" s="61"/>
      <c r="K100" s="49"/>
      <c r="L100" s="61"/>
      <c r="M100" s="61"/>
      <c r="N100" s="61"/>
      <c r="O100" s="49"/>
      <c r="P100" s="61"/>
      <c r="Q100" s="61"/>
      <c r="R100" s="61"/>
      <c r="S100" s="49"/>
      <c r="T100" s="61"/>
      <c r="U100" s="61"/>
      <c r="V100" s="61"/>
      <c r="W100" s="49"/>
      <c r="X100" s="61"/>
      <c r="Y100" s="61"/>
      <c r="Z100" s="61"/>
      <c r="AA100" s="49"/>
      <c r="AB100" s="61"/>
      <c r="AC100" s="61"/>
      <c r="AD100" s="61"/>
      <c r="AE100" s="49"/>
      <c r="AF100" s="61"/>
      <c r="AG100" s="61"/>
      <c r="AH100" s="61"/>
      <c r="AI100" s="49"/>
      <c r="AJ100" s="61"/>
      <c r="AK100" s="61"/>
      <c r="AL100" s="61"/>
      <c r="AM100" s="49"/>
      <c r="AN100" s="61"/>
      <c r="AO100" s="61"/>
      <c r="AP100" s="61"/>
      <c r="AQ100" s="49"/>
      <c r="AR100" s="61"/>
      <c r="AS100" s="61"/>
      <c r="AT100" s="61"/>
      <c r="AU100" s="49"/>
      <c r="AV100" s="61"/>
      <c r="AW100" s="61"/>
      <c r="AX100" s="61"/>
      <c r="AY100" s="49"/>
      <c r="AZ100" s="61"/>
      <c r="BA100" s="61"/>
    </row>
    <row r="101" spans="1:53" s="62" customFormat="1" x14ac:dyDescent="0.25">
      <c r="A101" s="38"/>
      <c r="B101" s="25"/>
      <c r="C101" s="49"/>
      <c r="D101" s="25"/>
      <c r="E101" s="25"/>
      <c r="F101" s="25"/>
      <c r="G101" s="49"/>
      <c r="H101" s="25"/>
      <c r="I101" s="25"/>
      <c r="J101" s="25"/>
      <c r="K101" s="49"/>
      <c r="L101" s="25"/>
      <c r="M101" s="25"/>
      <c r="N101" s="25"/>
      <c r="O101" s="49"/>
      <c r="P101" s="25"/>
      <c r="Q101" s="25"/>
      <c r="R101" s="25"/>
      <c r="S101" s="49"/>
      <c r="T101" s="25"/>
      <c r="U101" s="25"/>
      <c r="V101" s="25"/>
      <c r="W101" s="49"/>
      <c r="X101" s="25"/>
      <c r="Y101" s="25"/>
      <c r="Z101" s="25"/>
      <c r="AA101" s="49"/>
      <c r="AB101" s="25"/>
      <c r="AC101" s="25"/>
      <c r="AD101" s="25"/>
      <c r="AE101" s="49"/>
      <c r="AF101" s="25"/>
      <c r="AG101" s="25"/>
      <c r="AH101" s="25"/>
      <c r="AI101" s="49"/>
      <c r="AJ101" s="25"/>
      <c r="AK101" s="25"/>
      <c r="AL101" s="25"/>
      <c r="AM101" s="49"/>
      <c r="AN101" s="25"/>
      <c r="AO101" s="25"/>
      <c r="AP101" s="25"/>
      <c r="AQ101" s="49"/>
      <c r="AR101" s="25"/>
      <c r="AS101" s="25"/>
      <c r="AT101" s="25"/>
      <c r="AU101" s="49"/>
      <c r="AV101" s="25"/>
      <c r="AW101" s="25"/>
      <c r="AX101" s="25"/>
      <c r="AY101" s="49"/>
      <c r="AZ101" s="25"/>
      <c r="BA101" s="25"/>
    </row>
    <row r="102" spans="1:53" s="62" customFormat="1" x14ac:dyDescent="0.25">
      <c r="A102" s="31"/>
      <c r="B102" s="61"/>
      <c r="C102" s="49"/>
      <c r="D102" s="61"/>
      <c r="E102" s="61"/>
      <c r="F102" s="61"/>
      <c r="G102" s="49"/>
      <c r="H102" s="61"/>
      <c r="I102" s="61"/>
      <c r="J102" s="61"/>
      <c r="K102" s="49"/>
      <c r="L102" s="61"/>
      <c r="M102" s="61"/>
      <c r="N102" s="61"/>
      <c r="O102" s="49"/>
      <c r="P102" s="61"/>
      <c r="Q102" s="61"/>
      <c r="R102" s="61"/>
      <c r="S102" s="49"/>
      <c r="T102" s="61"/>
      <c r="U102" s="61"/>
      <c r="V102" s="61"/>
      <c r="W102" s="49"/>
      <c r="X102" s="61"/>
      <c r="Y102" s="61"/>
      <c r="Z102" s="61"/>
      <c r="AA102" s="49"/>
      <c r="AB102" s="61"/>
      <c r="AC102" s="61"/>
      <c r="AD102" s="61"/>
      <c r="AE102" s="49"/>
      <c r="AF102" s="61"/>
      <c r="AG102" s="61"/>
      <c r="AH102" s="61"/>
      <c r="AI102" s="49"/>
      <c r="AJ102" s="61"/>
      <c r="AK102" s="61"/>
      <c r="AL102" s="61"/>
      <c r="AM102" s="49"/>
      <c r="AN102" s="61"/>
      <c r="AO102" s="61"/>
      <c r="AP102" s="61"/>
      <c r="AQ102" s="49"/>
      <c r="AR102" s="61"/>
      <c r="AS102" s="61"/>
      <c r="AT102" s="61"/>
      <c r="AU102" s="49"/>
      <c r="AV102" s="61"/>
      <c r="AW102" s="61"/>
      <c r="AX102" s="61"/>
      <c r="AY102" s="49"/>
      <c r="AZ102" s="61"/>
      <c r="BA102" s="61"/>
    </row>
    <row r="103" spans="1:53" s="62" customFormat="1" x14ac:dyDescent="0.25">
      <c r="A103" s="38"/>
      <c r="B103" s="25"/>
      <c r="C103" s="49"/>
      <c r="D103" s="25"/>
      <c r="E103" s="25"/>
      <c r="F103" s="25"/>
      <c r="G103" s="49"/>
      <c r="H103" s="25"/>
      <c r="I103" s="25"/>
      <c r="J103" s="25"/>
      <c r="K103" s="49"/>
      <c r="L103" s="25"/>
      <c r="M103" s="25"/>
      <c r="N103" s="25"/>
      <c r="O103" s="49"/>
      <c r="P103" s="25"/>
      <c r="Q103" s="25"/>
      <c r="R103" s="25"/>
      <c r="S103" s="49"/>
      <c r="T103" s="25"/>
      <c r="U103" s="25"/>
      <c r="V103" s="25"/>
      <c r="W103" s="49"/>
      <c r="X103" s="25"/>
      <c r="Y103" s="25"/>
      <c r="Z103" s="25"/>
      <c r="AA103" s="49"/>
      <c r="AB103" s="25"/>
      <c r="AC103" s="25"/>
      <c r="AD103" s="25"/>
      <c r="AE103" s="49"/>
      <c r="AF103" s="25"/>
      <c r="AG103" s="25"/>
      <c r="AH103" s="25"/>
      <c r="AI103" s="49"/>
      <c r="AJ103" s="25"/>
      <c r="AK103" s="25"/>
      <c r="AL103" s="25"/>
      <c r="AM103" s="49"/>
      <c r="AN103" s="25"/>
      <c r="AO103" s="25"/>
      <c r="AP103" s="25"/>
      <c r="AQ103" s="49"/>
      <c r="AR103" s="25"/>
      <c r="AS103" s="25"/>
      <c r="AT103" s="25"/>
      <c r="AU103" s="49"/>
      <c r="AV103" s="25"/>
      <c r="AW103" s="25"/>
      <c r="AX103" s="25"/>
      <c r="AY103" s="49"/>
      <c r="AZ103" s="25"/>
      <c r="BA103" s="25"/>
    </row>
    <row r="104" spans="1:53" s="62" customFormat="1" x14ac:dyDescent="0.25">
      <c r="A104" s="31"/>
      <c r="B104" s="61"/>
      <c r="C104" s="49"/>
      <c r="D104" s="61"/>
      <c r="E104" s="61"/>
      <c r="F104" s="61"/>
      <c r="G104" s="49"/>
      <c r="H104" s="61"/>
      <c r="I104" s="61"/>
      <c r="J104" s="61"/>
      <c r="K104" s="49"/>
      <c r="L104" s="61"/>
      <c r="M104" s="61"/>
      <c r="N104" s="61"/>
      <c r="O104" s="49"/>
      <c r="P104" s="61"/>
      <c r="Q104" s="61"/>
      <c r="R104" s="61"/>
      <c r="S104" s="49"/>
      <c r="T104" s="61"/>
      <c r="U104" s="61"/>
      <c r="V104" s="61"/>
      <c r="W104" s="49"/>
      <c r="X104" s="61"/>
      <c r="Y104" s="61"/>
      <c r="Z104" s="61"/>
      <c r="AA104" s="49"/>
      <c r="AB104" s="61"/>
      <c r="AC104" s="61"/>
      <c r="AD104" s="61"/>
      <c r="AE104" s="49"/>
      <c r="AF104" s="61"/>
      <c r="AG104" s="61"/>
      <c r="AH104" s="61"/>
      <c r="AI104" s="49"/>
      <c r="AJ104" s="61"/>
      <c r="AK104" s="61"/>
      <c r="AL104" s="61"/>
      <c r="AM104" s="49"/>
      <c r="AN104" s="61"/>
      <c r="AO104" s="61"/>
      <c r="AP104" s="61"/>
      <c r="AQ104" s="49"/>
      <c r="AR104" s="61"/>
      <c r="AS104" s="61"/>
      <c r="AT104" s="61"/>
      <c r="AU104" s="49"/>
      <c r="AV104" s="61"/>
      <c r="AW104" s="61"/>
      <c r="AX104" s="61"/>
      <c r="AY104" s="49"/>
      <c r="AZ104" s="61"/>
      <c r="BA104" s="61"/>
    </row>
    <row r="105" spans="1:53" s="62" customFormat="1" x14ac:dyDescent="0.25">
      <c r="A105" s="38"/>
      <c r="B105" s="25"/>
      <c r="C105" s="49"/>
      <c r="D105" s="25"/>
      <c r="E105" s="25"/>
      <c r="F105" s="25"/>
      <c r="G105" s="49"/>
      <c r="H105" s="25"/>
      <c r="I105" s="25"/>
      <c r="J105" s="25"/>
      <c r="K105" s="49"/>
      <c r="L105" s="25"/>
      <c r="M105" s="25"/>
      <c r="N105" s="25"/>
      <c r="O105" s="49"/>
      <c r="P105" s="25"/>
      <c r="Q105" s="25"/>
      <c r="R105" s="25"/>
      <c r="S105" s="49"/>
      <c r="T105" s="25"/>
      <c r="U105" s="25"/>
      <c r="V105" s="25"/>
      <c r="W105" s="49"/>
      <c r="X105" s="25"/>
      <c r="Y105" s="25"/>
      <c r="Z105" s="25"/>
      <c r="AA105" s="49"/>
      <c r="AB105" s="25"/>
      <c r="AC105" s="25"/>
      <c r="AD105" s="25"/>
      <c r="AE105" s="49"/>
      <c r="AF105" s="25"/>
      <c r="AG105" s="25"/>
      <c r="AH105" s="25"/>
      <c r="AI105" s="49"/>
      <c r="AJ105" s="25"/>
      <c r="AK105" s="25"/>
      <c r="AL105" s="25"/>
      <c r="AM105" s="49"/>
      <c r="AN105" s="25"/>
      <c r="AO105" s="25"/>
      <c r="AP105" s="25"/>
      <c r="AQ105" s="49"/>
      <c r="AR105" s="25"/>
      <c r="AS105" s="25"/>
      <c r="AT105" s="25"/>
      <c r="AU105" s="49"/>
      <c r="AV105" s="25"/>
      <c r="AW105" s="25"/>
      <c r="AX105" s="25"/>
      <c r="AY105" s="49"/>
      <c r="AZ105" s="25"/>
      <c r="BA105" s="25"/>
    </row>
    <row r="106" spans="1:53" s="62" customFormat="1" x14ac:dyDescent="0.25">
      <c r="A106" s="31"/>
      <c r="B106" s="61"/>
      <c r="C106" s="49"/>
      <c r="D106" s="61"/>
      <c r="E106" s="61"/>
      <c r="F106" s="61"/>
      <c r="G106" s="49"/>
      <c r="H106" s="61"/>
      <c r="I106" s="61"/>
      <c r="J106" s="61"/>
      <c r="K106" s="49"/>
      <c r="L106" s="61"/>
      <c r="M106" s="61"/>
      <c r="N106" s="61"/>
      <c r="O106" s="49"/>
      <c r="P106" s="61"/>
      <c r="Q106" s="61"/>
      <c r="R106" s="61"/>
      <c r="S106" s="49"/>
      <c r="T106" s="61"/>
      <c r="U106" s="61"/>
      <c r="V106" s="61"/>
      <c r="W106" s="49"/>
      <c r="X106" s="61"/>
      <c r="Y106" s="61"/>
      <c r="Z106" s="61"/>
      <c r="AA106" s="49"/>
      <c r="AB106" s="61"/>
      <c r="AC106" s="61"/>
      <c r="AD106" s="61"/>
      <c r="AE106" s="49"/>
      <c r="AF106" s="61"/>
      <c r="AG106" s="61"/>
      <c r="AH106" s="61"/>
      <c r="AI106" s="49"/>
      <c r="AJ106" s="61"/>
      <c r="AK106" s="61"/>
      <c r="AL106" s="61"/>
      <c r="AM106" s="49"/>
      <c r="AN106" s="61"/>
      <c r="AO106" s="61"/>
      <c r="AP106" s="61"/>
      <c r="AQ106" s="49"/>
      <c r="AR106" s="61"/>
      <c r="AS106" s="61"/>
      <c r="AT106" s="61"/>
      <c r="AU106" s="49"/>
      <c r="AV106" s="61"/>
      <c r="AW106" s="61"/>
      <c r="AX106" s="61"/>
      <c r="AY106" s="49"/>
      <c r="AZ106" s="61"/>
      <c r="BA106" s="61"/>
    </row>
    <row r="107" spans="1:53" s="62" customFormat="1" x14ac:dyDescent="0.25">
      <c r="A107" s="38"/>
      <c r="B107" s="25"/>
      <c r="C107" s="49"/>
      <c r="D107" s="25"/>
      <c r="E107" s="25"/>
      <c r="F107" s="25"/>
      <c r="G107" s="49"/>
      <c r="H107" s="25"/>
      <c r="I107" s="25"/>
      <c r="J107" s="25"/>
      <c r="K107" s="49"/>
      <c r="L107" s="25"/>
      <c r="M107" s="25"/>
      <c r="N107" s="25"/>
      <c r="O107" s="49"/>
      <c r="P107" s="25"/>
      <c r="Q107" s="25"/>
      <c r="R107" s="25"/>
      <c r="S107" s="49"/>
      <c r="T107" s="25"/>
      <c r="U107" s="25"/>
      <c r="V107" s="25"/>
      <c r="W107" s="49"/>
      <c r="X107" s="25"/>
      <c r="Y107" s="25"/>
      <c r="Z107" s="25"/>
      <c r="AA107" s="49"/>
      <c r="AB107" s="25"/>
      <c r="AC107" s="25"/>
      <c r="AD107" s="25"/>
      <c r="AE107" s="49"/>
      <c r="AF107" s="25"/>
      <c r="AG107" s="25"/>
      <c r="AH107" s="25"/>
      <c r="AI107" s="49"/>
      <c r="AJ107" s="25"/>
      <c r="AK107" s="25"/>
      <c r="AL107" s="25"/>
      <c r="AM107" s="49"/>
      <c r="AN107" s="25"/>
      <c r="AO107" s="25"/>
      <c r="AP107" s="25"/>
      <c r="AQ107" s="49"/>
      <c r="AR107" s="25"/>
      <c r="AS107" s="25"/>
      <c r="AT107" s="25"/>
      <c r="AU107" s="49"/>
      <c r="AV107" s="25"/>
      <c r="AW107" s="25"/>
      <c r="AX107" s="25"/>
      <c r="AY107" s="49"/>
      <c r="AZ107" s="25"/>
      <c r="BA107" s="25"/>
    </row>
    <row r="108" spans="1:53" s="62" customFormat="1" x14ac:dyDescent="0.25">
      <c r="A108" s="31"/>
      <c r="B108" s="61"/>
      <c r="C108" s="49"/>
      <c r="D108" s="61"/>
      <c r="E108" s="61"/>
      <c r="F108" s="61"/>
      <c r="G108" s="49"/>
      <c r="H108" s="61"/>
      <c r="I108" s="61"/>
      <c r="J108" s="61"/>
      <c r="K108" s="49"/>
      <c r="L108" s="61"/>
      <c r="M108" s="61"/>
      <c r="N108" s="61"/>
      <c r="O108" s="49"/>
      <c r="P108" s="61"/>
      <c r="Q108" s="61"/>
      <c r="R108" s="61"/>
      <c r="S108" s="49"/>
      <c r="T108" s="61"/>
      <c r="U108" s="61"/>
      <c r="V108" s="61"/>
      <c r="W108" s="49"/>
      <c r="X108" s="61"/>
      <c r="Y108" s="61"/>
      <c r="Z108" s="61"/>
      <c r="AA108" s="49"/>
      <c r="AB108" s="61"/>
      <c r="AC108" s="61"/>
      <c r="AD108" s="61"/>
      <c r="AE108" s="49"/>
      <c r="AF108" s="61"/>
      <c r="AG108" s="61"/>
      <c r="AH108" s="61"/>
      <c r="AI108" s="49"/>
      <c r="AJ108" s="61"/>
      <c r="AK108" s="61"/>
      <c r="AL108" s="61"/>
      <c r="AM108" s="49"/>
      <c r="AN108" s="61"/>
      <c r="AO108" s="61"/>
      <c r="AP108" s="61"/>
      <c r="AQ108" s="49"/>
      <c r="AR108" s="61"/>
      <c r="AS108" s="61"/>
      <c r="AT108" s="61"/>
      <c r="AU108" s="49"/>
      <c r="AV108" s="61"/>
      <c r="AW108" s="61"/>
      <c r="AX108" s="61"/>
      <c r="AY108" s="49"/>
      <c r="AZ108" s="61"/>
      <c r="BA108" s="61"/>
    </row>
    <row r="109" spans="1:53" s="62" customFormat="1" x14ac:dyDescent="0.25">
      <c r="A109" s="38"/>
      <c r="B109" s="25"/>
      <c r="C109" s="49"/>
      <c r="D109" s="25"/>
      <c r="E109" s="25"/>
      <c r="F109" s="25"/>
      <c r="G109" s="49"/>
      <c r="H109" s="25"/>
      <c r="I109" s="25"/>
      <c r="J109" s="25"/>
      <c r="K109" s="49"/>
      <c r="L109" s="25"/>
      <c r="M109" s="25"/>
      <c r="N109" s="25"/>
      <c r="O109" s="49"/>
      <c r="P109" s="25"/>
      <c r="Q109" s="25"/>
      <c r="R109" s="25"/>
      <c r="S109" s="49"/>
      <c r="T109" s="25"/>
      <c r="U109" s="25"/>
      <c r="V109" s="25"/>
      <c r="W109" s="49"/>
      <c r="X109" s="25"/>
      <c r="Y109" s="25"/>
      <c r="Z109" s="25"/>
      <c r="AA109" s="49"/>
      <c r="AB109" s="25"/>
      <c r="AC109" s="25"/>
      <c r="AD109" s="25"/>
      <c r="AE109" s="49"/>
      <c r="AF109" s="25"/>
      <c r="AG109" s="25"/>
      <c r="AH109" s="25"/>
      <c r="AI109" s="49"/>
      <c r="AJ109" s="25"/>
      <c r="AK109" s="25"/>
      <c r="AL109" s="25"/>
      <c r="AM109" s="49"/>
      <c r="AN109" s="25"/>
      <c r="AO109" s="25"/>
      <c r="AP109" s="25"/>
      <c r="AQ109" s="49"/>
      <c r="AR109" s="25"/>
      <c r="AS109" s="25"/>
      <c r="AT109" s="25"/>
      <c r="AU109" s="49"/>
      <c r="AV109" s="25"/>
      <c r="AW109" s="25"/>
      <c r="AX109" s="25"/>
      <c r="AY109" s="49"/>
      <c r="AZ109" s="25"/>
      <c r="BA109" s="25"/>
    </row>
    <row r="110" spans="1:53" s="62" customFormat="1" x14ac:dyDescent="0.25">
      <c r="A110" s="31"/>
      <c r="B110" s="61"/>
      <c r="C110" s="49"/>
      <c r="D110" s="61"/>
      <c r="E110" s="61"/>
      <c r="F110" s="61"/>
      <c r="G110" s="49"/>
      <c r="H110" s="61"/>
      <c r="I110" s="61"/>
      <c r="J110" s="61"/>
      <c r="K110" s="49"/>
      <c r="L110" s="61"/>
      <c r="M110" s="61"/>
      <c r="N110" s="61"/>
      <c r="O110" s="49"/>
      <c r="P110" s="61"/>
      <c r="Q110" s="61"/>
      <c r="R110" s="61"/>
      <c r="S110" s="49"/>
      <c r="T110" s="61"/>
      <c r="U110" s="61"/>
      <c r="V110" s="61"/>
      <c r="W110" s="49"/>
      <c r="X110" s="61"/>
      <c r="Y110" s="61"/>
      <c r="Z110" s="61"/>
      <c r="AA110" s="49"/>
      <c r="AB110" s="61"/>
      <c r="AC110" s="61"/>
      <c r="AD110" s="61"/>
      <c r="AE110" s="49"/>
      <c r="AF110" s="61"/>
      <c r="AG110" s="61"/>
      <c r="AH110" s="61"/>
      <c r="AI110" s="49"/>
      <c r="AJ110" s="61"/>
      <c r="AK110" s="61"/>
      <c r="AL110" s="61"/>
      <c r="AM110" s="49"/>
      <c r="AN110" s="61"/>
      <c r="AO110" s="61"/>
      <c r="AP110" s="61"/>
      <c r="AQ110" s="49"/>
      <c r="AR110" s="61"/>
      <c r="AS110" s="61"/>
      <c r="AT110" s="61"/>
      <c r="AU110" s="49"/>
      <c r="AV110" s="61"/>
      <c r="AW110" s="61"/>
      <c r="AX110" s="61"/>
      <c r="AY110" s="49"/>
      <c r="AZ110" s="61"/>
      <c r="BA110" s="61"/>
    </row>
    <row r="111" spans="1:53" s="62" customFormat="1" x14ac:dyDescent="0.25">
      <c r="A111" s="38"/>
      <c r="B111" s="25"/>
      <c r="C111" s="49"/>
      <c r="D111" s="25"/>
      <c r="E111" s="25"/>
      <c r="F111" s="25"/>
      <c r="G111" s="49"/>
      <c r="H111" s="25"/>
      <c r="I111" s="25"/>
      <c r="J111" s="25"/>
      <c r="K111" s="49"/>
      <c r="L111" s="25"/>
      <c r="M111" s="25"/>
      <c r="N111" s="25"/>
      <c r="O111" s="49"/>
      <c r="P111" s="25"/>
      <c r="Q111" s="25"/>
      <c r="R111" s="25"/>
      <c r="S111" s="49"/>
      <c r="T111" s="25"/>
      <c r="U111" s="25"/>
      <c r="V111" s="25"/>
      <c r="W111" s="49"/>
      <c r="X111" s="25"/>
      <c r="Y111" s="25"/>
      <c r="Z111" s="25"/>
      <c r="AA111" s="49"/>
      <c r="AB111" s="25"/>
      <c r="AC111" s="25"/>
      <c r="AD111" s="25"/>
      <c r="AE111" s="49"/>
      <c r="AF111" s="25"/>
      <c r="AG111" s="25"/>
      <c r="AH111" s="25"/>
      <c r="AI111" s="49"/>
      <c r="AJ111" s="25"/>
      <c r="AK111" s="25"/>
      <c r="AL111" s="25"/>
      <c r="AM111" s="49"/>
      <c r="AN111" s="25"/>
      <c r="AO111" s="25"/>
      <c r="AP111" s="25"/>
      <c r="AQ111" s="49"/>
      <c r="AR111" s="25"/>
      <c r="AS111" s="25"/>
      <c r="AT111" s="25"/>
      <c r="AU111" s="49"/>
      <c r="AV111" s="25"/>
      <c r="AW111" s="25"/>
      <c r="AX111" s="25"/>
      <c r="AY111" s="49"/>
      <c r="AZ111" s="25"/>
      <c r="BA111" s="25"/>
    </row>
    <row r="112" spans="1:53" s="62" customFormat="1" x14ac:dyDescent="0.25">
      <c r="A112" s="31"/>
      <c r="B112" s="61"/>
      <c r="C112" s="49"/>
      <c r="D112" s="61"/>
      <c r="E112" s="61"/>
      <c r="F112" s="61"/>
      <c r="G112" s="49"/>
      <c r="H112" s="61"/>
      <c r="I112" s="61"/>
      <c r="J112" s="61"/>
      <c r="K112" s="49"/>
      <c r="L112" s="61"/>
      <c r="M112" s="61"/>
      <c r="N112" s="61"/>
      <c r="O112" s="49"/>
      <c r="P112" s="61"/>
      <c r="Q112" s="61"/>
      <c r="R112" s="61"/>
      <c r="S112" s="49"/>
      <c r="T112" s="61"/>
      <c r="U112" s="61"/>
      <c r="V112" s="61"/>
      <c r="W112" s="49"/>
      <c r="X112" s="61"/>
      <c r="Y112" s="61"/>
      <c r="Z112" s="61"/>
      <c r="AA112" s="49"/>
      <c r="AB112" s="61"/>
      <c r="AC112" s="61"/>
      <c r="AD112" s="61"/>
      <c r="AE112" s="49"/>
      <c r="AF112" s="61"/>
      <c r="AG112" s="61"/>
      <c r="AH112" s="61"/>
      <c r="AI112" s="49"/>
      <c r="AJ112" s="61"/>
      <c r="AK112" s="61"/>
      <c r="AL112" s="61"/>
      <c r="AM112" s="49"/>
      <c r="AN112" s="61"/>
      <c r="AO112" s="61"/>
      <c r="AP112" s="61"/>
      <c r="AQ112" s="49"/>
      <c r="AR112" s="61"/>
      <c r="AS112" s="61"/>
      <c r="AT112" s="61"/>
      <c r="AU112" s="49"/>
      <c r="AV112" s="61"/>
      <c r="AW112" s="61"/>
      <c r="AX112" s="61"/>
      <c r="AY112" s="49"/>
      <c r="AZ112" s="61"/>
      <c r="BA112" s="61"/>
    </row>
    <row r="113" spans="1:53" s="62" customFormat="1" x14ac:dyDescent="0.25">
      <c r="A113" s="38"/>
      <c r="B113" s="25"/>
      <c r="C113" s="49"/>
      <c r="D113" s="25"/>
      <c r="E113" s="25"/>
      <c r="F113" s="25"/>
      <c r="G113" s="49"/>
      <c r="H113" s="25"/>
      <c r="I113" s="25"/>
      <c r="J113" s="25"/>
      <c r="K113" s="49"/>
      <c r="L113" s="25"/>
      <c r="M113" s="25"/>
      <c r="N113" s="25"/>
      <c r="O113" s="49"/>
      <c r="P113" s="25"/>
      <c r="Q113" s="25"/>
      <c r="R113" s="25"/>
      <c r="S113" s="49"/>
      <c r="T113" s="25"/>
      <c r="U113" s="25"/>
      <c r="V113" s="25"/>
      <c r="W113" s="49"/>
      <c r="X113" s="25"/>
      <c r="Y113" s="25"/>
      <c r="Z113" s="25"/>
      <c r="AA113" s="49"/>
      <c r="AB113" s="25"/>
      <c r="AC113" s="25"/>
      <c r="AD113" s="25"/>
      <c r="AE113" s="49"/>
      <c r="AF113" s="25"/>
      <c r="AG113" s="25"/>
      <c r="AH113" s="25"/>
      <c r="AI113" s="49"/>
      <c r="AJ113" s="25"/>
      <c r="AK113" s="25"/>
      <c r="AL113" s="25"/>
      <c r="AM113" s="49"/>
      <c r="AN113" s="25"/>
      <c r="AO113" s="25"/>
      <c r="AP113" s="25"/>
      <c r="AQ113" s="49"/>
      <c r="AR113" s="25"/>
      <c r="AS113" s="25"/>
      <c r="AT113" s="25"/>
      <c r="AU113" s="49"/>
      <c r="AV113" s="25"/>
      <c r="AW113" s="25"/>
      <c r="AX113" s="25"/>
      <c r="AY113" s="49"/>
      <c r="AZ113" s="25"/>
      <c r="BA113" s="25"/>
    </row>
    <row r="114" spans="1:53" s="62" customFormat="1" x14ac:dyDescent="0.25">
      <c r="A114" s="31"/>
      <c r="B114" s="61"/>
      <c r="C114" s="49"/>
      <c r="D114" s="61"/>
      <c r="E114" s="61"/>
      <c r="F114" s="61"/>
      <c r="G114" s="49"/>
      <c r="H114" s="61"/>
      <c r="I114" s="61"/>
      <c r="J114" s="61"/>
      <c r="K114" s="49"/>
      <c r="L114" s="61"/>
      <c r="M114" s="61"/>
      <c r="N114" s="61"/>
      <c r="O114" s="49"/>
      <c r="P114" s="61"/>
      <c r="Q114" s="61"/>
      <c r="R114" s="61"/>
      <c r="S114" s="49"/>
      <c r="T114" s="61"/>
      <c r="U114" s="61"/>
      <c r="V114" s="61"/>
      <c r="W114" s="49"/>
      <c r="X114" s="61"/>
      <c r="Y114" s="61"/>
      <c r="Z114" s="61"/>
      <c r="AA114" s="49"/>
      <c r="AB114" s="61"/>
      <c r="AC114" s="61"/>
      <c r="AD114" s="61"/>
      <c r="AE114" s="49"/>
      <c r="AF114" s="61"/>
      <c r="AG114" s="61"/>
      <c r="AH114" s="61"/>
      <c r="AI114" s="49"/>
      <c r="AJ114" s="61"/>
      <c r="AK114" s="61"/>
      <c r="AL114" s="61"/>
      <c r="AM114" s="49"/>
      <c r="AN114" s="61"/>
      <c r="AO114" s="61"/>
      <c r="AP114" s="61"/>
      <c r="AQ114" s="49"/>
      <c r="AR114" s="61"/>
      <c r="AS114" s="61"/>
      <c r="AT114" s="61"/>
      <c r="AU114" s="49"/>
      <c r="AV114" s="61"/>
      <c r="AW114" s="61"/>
      <c r="AX114" s="61"/>
      <c r="AY114" s="49"/>
      <c r="AZ114" s="61"/>
      <c r="BA114" s="61"/>
    </row>
    <row r="115" spans="1:53" s="62" customFormat="1" x14ac:dyDescent="0.25">
      <c r="A115" s="38"/>
      <c r="B115" s="25"/>
      <c r="C115" s="49"/>
      <c r="D115" s="25"/>
      <c r="E115" s="25"/>
      <c r="F115" s="25"/>
      <c r="G115" s="49"/>
      <c r="H115" s="25"/>
      <c r="I115" s="25"/>
      <c r="J115" s="25"/>
      <c r="K115" s="49"/>
      <c r="L115" s="25"/>
      <c r="M115" s="25"/>
      <c r="N115" s="25"/>
      <c r="O115" s="49"/>
      <c r="P115" s="25"/>
      <c r="Q115" s="25"/>
      <c r="R115" s="25"/>
      <c r="S115" s="49"/>
      <c r="T115" s="25"/>
      <c r="U115" s="25"/>
      <c r="V115" s="25"/>
      <c r="W115" s="49"/>
      <c r="X115" s="25"/>
      <c r="Y115" s="25"/>
      <c r="Z115" s="25"/>
      <c r="AA115" s="49"/>
      <c r="AB115" s="25"/>
      <c r="AC115" s="25"/>
      <c r="AD115" s="25"/>
      <c r="AE115" s="49"/>
      <c r="AF115" s="25"/>
      <c r="AG115" s="25"/>
      <c r="AH115" s="25"/>
      <c r="AI115" s="49"/>
      <c r="AJ115" s="25"/>
      <c r="AK115" s="25"/>
      <c r="AL115" s="25"/>
      <c r="AM115" s="49"/>
      <c r="AN115" s="25"/>
      <c r="AO115" s="25"/>
      <c r="AP115" s="25"/>
      <c r="AQ115" s="49"/>
      <c r="AR115" s="25"/>
      <c r="AS115" s="25"/>
      <c r="AT115" s="25"/>
      <c r="AU115" s="49"/>
      <c r="AV115" s="25"/>
      <c r="AW115" s="25"/>
      <c r="AX115" s="25"/>
      <c r="AY115" s="49"/>
      <c r="AZ115" s="25"/>
      <c r="BA115" s="25"/>
    </row>
    <row r="116" spans="1:53" s="62" customFormat="1" x14ac:dyDescent="0.25">
      <c r="A116" s="31"/>
      <c r="B116" s="61"/>
      <c r="C116" s="49"/>
      <c r="D116" s="61"/>
      <c r="E116" s="61"/>
      <c r="F116" s="61"/>
      <c r="G116" s="49"/>
      <c r="H116" s="61"/>
      <c r="I116" s="61"/>
      <c r="J116" s="61"/>
      <c r="K116" s="49"/>
      <c r="L116" s="61"/>
      <c r="M116" s="61"/>
      <c r="N116" s="61"/>
      <c r="O116" s="49"/>
      <c r="P116" s="61"/>
      <c r="Q116" s="61"/>
      <c r="R116" s="61"/>
      <c r="S116" s="49"/>
      <c r="T116" s="61"/>
      <c r="U116" s="61"/>
      <c r="V116" s="61"/>
      <c r="W116" s="49"/>
      <c r="X116" s="61"/>
      <c r="Y116" s="61"/>
      <c r="Z116" s="61"/>
      <c r="AA116" s="49"/>
      <c r="AB116" s="61"/>
      <c r="AC116" s="61"/>
      <c r="AD116" s="61"/>
      <c r="AE116" s="49"/>
      <c r="AF116" s="61"/>
      <c r="AG116" s="61"/>
      <c r="AH116" s="61"/>
      <c r="AI116" s="49"/>
      <c r="AJ116" s="61"/>
      <c r="AK116" s="61"/>
      <c r="AL116" s="61"/>
      <c r="AM116" s="49"/>
      <c r="AN116" s="61"/>
      <c r="AO116" s="61"/>
      <c r="AP116" s="61"/>
      <c r="AQ116" s="49"/>
      <c r="AR116" s="61"/>
      <c r="AS116" s="61"/>
      <c r="AT116" s="61"/>
      <c r="AU116" s="49"/>
      <c r="AV116" s="61"/>
      <c r="AW116" s="61"/>
      <c r="AX116" s="61"/>
      <c r="AY116" s="49"/>
      <c r="AZ116" s="61"/>
      <c r="BA116" s="61"/>
    </row>
    <row r="117" spans="1:53" s="62" customFormat="1" x14ac:dyDescent="0.25">
      <c r="A117" s="38"/>
      <c r="B117" s="25"/>
      <c r="C117" s="49"/>
      <c r="D117" s="25"/>
      <c r="E117" s="25"/>
      <c r="F117" s="25"/>
      <c r="G117" s="49"/>
      <c r="H117" s="25"/>
      <c r="I117" s="25"/>
      <c r="J117" s="25"/>
      <c r="K117" s="49"/>
      <c r="L117" s="25"/>
      <c r="M117" s="25"/>
      <c r="N117" s="25"/>
      <c r="O117" s="49"/>
      <c r="P117" s="25"/>
      <c r="Q117" s="25"/>
      <c r="R117" s="25"/>
      <c r="S117" s="49"/>
      <c r="T117" s="25"/>
      <c r="U117" s="25"/>
      <c r="V117" s="25"/>
      <c r="W117" s="49"/>
      <c r="X117" s="25"/>
      <c r="Y117" s="25"/>
      <c r="Z117" s="25"/>
      <c r="AA117" s="49"/>
      <c r="AB117" s="25"/>
      <c r="AC117" s="25"/>
      <c r="AD117" s="25"/>
      <c r="AE117" s="49"/>
      <c r="AF117" s="25"/>
      <c r="AG117" s="25"/>
      <c r="AH117" s="25"/>
      <c r="AI117" s="49"/>
      <c r="AJ117" s="25"/>
      <c r="AK117" s="25"/>
      <c r="AL117" s="25"/>
      <c r="AM117" s="49"/>
      <c r="AN117" s="25"/>
      <c r="AO117" s="25"/>
      <c r="AP117" s="25"/>
      <c r="AQ117" s="49"/>
      <c r="AR117" s="25"/>
      <c r="AS117" s="25"/>
      <c r="AT117" s="25"/>
      <c r="AU117" s="49"/>
      <c r="AV117" s="25"/>
      <c r="AW117" s="25"/>
      <c r="AX117" s="25"/>
      <c r="AY117" s="49"/>
      <c r="AZ117" s="25"/>
      <c r="BA117" s="25"/>
    </row>
    <row r="118" spans="1:53" s="62" customFormat="1" x14ac:dyDescent="0.25">
      <c r="A118" s="31"/>
      <c r="B118" s="61"/>
      <c r="C118" s="49"/>
      <c r="D118" s="61"/>
      <c r="E118" s="61"/>
      <c r="F118" s="61"/>
      <c r="G118" s="49"/>
      <c r="H118" s="61"/>
      <c r="I118" s="61"/>
      <c r="J118" s="61"/>
      <c r="K118" s="49"/>
      <c r="L118" s="61"/>
      <c r="M118" s="61"/>
      <c r="N118" s="61"/>
      <c r="O118" s="49"/>
      <c r="P118" s="61"/>
      <c r="Q118" s="61"/>
      <c r="R118" s="61"/>
      <c r="S118" s="49"/>
      <c r="T118" s="61"/>
      <c r="U118" s="61"/>
      <c r="V118" s="61"/>
      <c r="W118" s="49"/>
      <c r="X118" s="61"/>
      <c r="Y118" s="61"/>
      <c r="Z118" s="61"/>
      <c r="AA118" s="49"/>
      <c r="AB118" s="61"/>
      <c r="AC118" s="61"/>
      <c r="AD118" s="61"/>
      <c r="AE118" s="49"/>
      <c r="AF118" s="61"/>
      <c r="AG118" s="61"/>
      <c r="AH118" s="61"/>
      <c r="AI118" s="49"/>
      <c r="AJ118" s="61"/>
      <c r="AK118" s="61"/>
      <c r="AL118" s="61"/>
      <c r="AM118" s="49"/>
      <c r="AN118" s="61"/>
      <c r="AO118" s="61"/>
      <c r="AP118" s="61"/>
      <c r="AQ118" s="49"/>
      <c r="AR118" s="61"/>
      <c r="AS118" s="61"/>
      <c r="AT118" s="61"/>
      <c r="AU118" s="49"/>
      <c r="AV118" s="61"/>
      <c r="AW118" s="61"/>
      <c r="AX118" s="61"/>
      <c r="AY118" s="49"/>
      <c r="AZ118" s="61"/>
      <c r="BA118" s="61"/>
    </row>
    <row r="119" spans="1:53" s="62" customFormat="1" x14ac:dyDescent="0.25">
      <c r="A119" s="38"/>
      <c r="B119" s="25"/>
      <c r="C119" s="49"/>
      <c r="D119" s="25"/>
      <c r="E119" s="25"/>
      <c r="F119" s="25"/>
      <c r="G119" s="49"/>
      <c r="H119" s="25"/>
      <c r="I119" s="25"/>
      <c r="J119" s="25"/>
      <c r="K119" s="49"/>
      <c r="L119" s="25"/>
      <c r="M119" s="25"/>
      <c r="N119" s="25"/>
      <c r="O119" s="49"/>
      <c r="P119" s="25"/>
      <c r="Q119" s="25"/>
      <c r="R119" s="25"/>
      <c r="S119" s="49"/>
      <c r="T119" s="25"/>
      <c r="U119" s="25"/>
      <c r="V119" s="25"/>
      <c r="W119" s="49"/>
      <c r="X119" s="25"/>
      <c r="Y119" s="25"/>
      <c r="Z119" s="25"/>
      <c r="AA119" s="49"/>
      <c r="AB119" s="25"/>
      <c r="AC119" s="25"/>
      <c r="AD119" s="25"/>
      <c r="AE119" s="49"/>
      <c r="AF119" s="25"/>
      <c r="AG119" s="25"/>
      <c r="AH119" s="25"/>
      <c r="AI119" s="49"/>
      <c r="AJ119" s="25"/>
      <c r="AK119" s="25"/>
      <c r="AL119" s="25"/>
      <c r="AM119" s="49"/>
      <c r="AN119" s="25"/>
      <c r="AO119" s="25"/>
      <c r="AP119" s="25"/>
      <c r="AQ119" s="49"/>
      <c r="AR119" s="25"/>
      <c r="AS119" s="25"/>
      <c r="AT119" s="25"/>
      <c r="AU119" s="49"/>
      <c r="AV119" s="25"/>
      <c r="AW119" s="25"/>
      <c r="AX119" s="25"/>
      <c r="AY119" s="49"/>
      <c r="AZ119" s="25"/>
      <c r="BA119" s="25"/>
    </row>
    <row r="120" spans="1:53" s="62" customFormat="1" x14ac:dyDescent="0.25">
      <c r="A120" s="31"/>
      <c r="B120" s="61"/>
      <c r="C120" s="49"/>
      <c r="D120" s="61"/>
      <c r="E120" s="61"/>
      <c r="F120" s="61"/>
      <c r="G120" s="49"/>
      <c r="H120" s="61"/>
      <c r="I120" s="61"/>
      <c r="J120" s="61"/>
      <c r="K120" s="49"/>
      <c r="L120" s="61"/>
      <c r="M120" s="61"/>
      <c r="N120" s="61"/>
      <c r="O120" s="49"/>
      <c r="P120" s="61"/>
      <c r="Q120" s="61"/>
      <c r="R120" s="61"/>
      <c r="S120" s="49"/>
      <c r="T120" s="61"/>
      <c r="U120" s="61"/>
      <c r="V120" s="61"/>
      <c r="W120" s="49"/>
      <c r="X120" s="61"/>
      <c r="Y120" s="61"/>
      <c r="Z120" s="61"/>
      <c r="AA120" s="49"/>
      <c r="AB120" s="61"/>
      <c r="AC120" s="61"/>
      <c r="AD120" s="61"/>
      <c r="AE120" s="49"/>
      <c r="AF120" s="61"/>
      <c r="AG120" s="61"/>
      <c r="AH120" s="61"/>
      <c r="AI120" s="49"/>
      <c r="AJ120" s="61"/>
      <c r="AK120" s="61"/>
      <c r="AL120" s="61"/>
      <c r="AM120" s="49"/>
      <c r="AN120" s="61"/>
      <c r="AO120" s="61"/>
      <c r="AP120" s="61"/>
      <c r="AQ120" s="49"/>
      <c r="AR120" s="61"/>
      <c r="AS120" s="61"/>
      <c r="AT120" s="61"/>
      <c r="AU120" s="49"/>
      <c r="AV120" s="61"/>
      <c r="AW120" s="61"/>
      <c r="AX120" s="61"/>
      <c r="AY120" s="49"/>
      <c r="AZ120" s="61"/>
      <c r="BA120" s="61"/>
    </row>
    <row r="121" spans="1:53" s="62" customFormat="1" x14ac:dyDescent="0.25">
      <c r="A121" s="38"/>
      <c r="B121" s="25"/>
      <c r="C121" s="49"/>
      <c r="D121" s="25"/>
      <c r="E121" s="25"/>
      <c r="F121" s="25"/>
      <c r="G121" s="49"/>
      <c r="H121" s="25"/>
      <c r="I121" s="25"/>
      <c r="J121" s="25"/>
      <c r="K121" s="49"/>
      <c r="L121" s="25"/>
      <c r="M121" s="25"/>
      <c r="N121" s="25"/>
      <c r="O121" s="49"/>
      <c r="P121" s="25"/>
      <c r="Q121" s="25"/>
      <c r="R121" s="25"/>
      <c r="S121" s="49"/>
      <c r="T121" s="25"/>
      <c r="U121" s="25"/>
      <c r="V121" s="25"/>
      <c r="W121" s="49"/>
      <c r="X121" s="25"/>
      <c r="Y121" s="25"/>
      <c r="Z121" s="25"/>
      <c r="AA121" s="49"/>
      <c r="AB121" s="25"/>
      <c r="AC121" s="25"/>
      <c r="AD121" s="25"/>
      <c r="AE121" s="49"/>
      <c r="AF121" s="25"/>
      <c r="AG121" s="25"/>
      <c r="AH121" s="25"/>
      <c r="AI121" s="49"/>
      <c r="AJ121" s="25"/>
      <c r="AK121" s="25"/>
      <c r="AL121" s="25"/>
      <c r="AM121" s="49"/>
      <c r="AN121" s="25"/>
      <c r="AO121" s="25"/>
      <c r="AP121" s="25"/>
      <c r="AQ121" s="49"/>
      <c r="AR121" s="25"/>
      <c r="AS121" s="25"/>
      <c r="AT121" s="25"/>
      <c r="AU121" s="49"/>
      <c r="AV121" s="25"/>
      <c r="AW121" s="25"/>
      <c r="AX121" s="25"/>
      <c r="AY121" s="49"/>
      <c r="AZ121" s="25"/>
      <c r="BA121" s="25"/>
    </row>
    <row r="122" spans="1:53" s="62" customFormat="1" x14ac:dyDescent="0.25">
      <c r="A122" s="31"/>
      <c r="B122" s="61"/>
      <c r="C122" s="49"/>
      <c r="D122" s="61"/>
      <c r="E122" s="61"/>
      <c r="F122" s="61"/>
      <c r="G122" s="49"/>
      <c r="H122" s="61"/>
      <c r="I122" s="61"/>
      <c r="J122" s="61"/>
      <c r="K122" s="49"/>
      <c r="L122" s="61"/>
      <c r="M122" s="61"/>
      <c r="N122" s="61"/>
      <c r="O122" s="49"/>
      <c r="P122" s="61"/>
      <c r="Q122" s="61"/>
      <c r="R122" s="61"/>
      <c r="S122" s="49"/>
      <c r="T122" s="61"/>
      <c r="U122" s="61"/>
      <c r="V122" s="61"/>
      <c r="W122" s="49"/>
      <c r="X122" s="61"/>
      <c r="Y122" s="61"/>
      <c r="Z122" s="61"/>
      <c r="AA122" s="49"/>
      <c r="AB122" s="61"/>
      <c r="AC122" s="61"/>
      <c r="AD122" s="61"/>
      <c r="AE122" s="49"/>
      <c r="AF122" s="61"/>
      <c r="AG122" s="61"/>
      <c r="AH122" s="61"/>
      <c r="AI122" s="49"/>
      <c r="AJ122" s="61"/>
      <c r="AK122" s="61"/>
      <c r="AL122" s="61"/>
      <c r="AM122" s="49"/>
      <c r="AN122" s="61"/>
      <c r="AO122" s="61"/>
      <c r="AP122" s="61"/>
      <c r="AQ122" s="49"/>
      <c r="AR122" s="61"/>
      <c r="AS122" s="61"/>
      <c r="AT122" s="61"/>
      <c r="AU122" s="49"/>
      <c r="AV122" s="61"/>
      <c r="AW122" s="61"/>
      <c r="AX122" s="61"/>
      <c r="AY122" s="49"/>
      <c r="AZ122" s="61"/>
      <c r="BA122" s="61"/>
    </row>
    <row r="123" spans="1:53" s="62" customFormat="1" x14ac:dyDescent="0.25">
      <c r="A123" s="38"/>
      <c r="B123" s="25"/>
      <c r="C123" s="49"/>
      <c r="D123" s="25"/>
      <c r="E123" s="25"/>
      <c r="F123" s="25"/>
      <c r="G123" s="49"/>
      <c r="H123" s="25"/>
      <c r="I123" s="25"/>
      <c r="J123" s="25"/>
      <c r="K123" s="49"/>
      <c r="L123" s="25"/>
      <c r="M123" s="25"/>
      <c r="N123" s="25"/>
      <c r="O123" s="49"/>
      <c r="P123" s="25"/>
      <c r="Q123" s="25"/>
      <c r="R123" s="25"/>
      <c r="S123" s="49"/>
      <c r="T123" s="25"/>
      <c r="U123" s="25"/>
      <c r="V123" s="25"/>
      <c r="W123" s="49"/>
      <c r="X123" s="25"/>
      <c r="Y123" s="25"/>
      <c r="Z123" s="25"/>
      <c r="AA123" s="49"/>
      <c r="AB123" s="25"/>
      <c r="AC123" s="25"/>
      <c r="AD123" s="25"/>
      <c r="AE123" s="49"/>
      <c r="AF123" s="25"/>
      <c r="AG123" s="25"/>
      <c r="AH123" s="25"/>
      <c r="AI123" s="49"/>
      <c r="AJ123" s="25"/>
      <c r="AK123" s="25"/>
      <c r="AL123" s="25"/>
      <c r="AM123" s="49"/>
      <c r="AN123" s="25"/>
      <c r="AO123" s="25"/>
      <c r="AP123" s="25"/>
      <c r="AQ123" s="49"/>
      <c r="AR123" s="25"/>
      <c r="AS123" s="25"/>
      <c r="AT123" s="25"/>
      <c r="AU123" s="49"/>
      <c r="AV123" s="25"/>
      <c r="AW123" s="25"/>
      <c r="AX123" s="25"/>
      <c r="AY123" s="49"/>
      <c r="AZ123" s="25"/>
      <c r="BA123" s="25"/>
    </row>
    <row r="124" spans="1:53" s="62" customFormat="1" x14ac:dyDescent="0.25">
      <c r="A124" s="31"/>
      <c r="B124" s="61"/>
      <c r="C124" s="49"/>
      <c r="D124" s="61"/>
      <c r="E124" s="61"/>
      <c r="F124" s="61"/>
      <c r="G124" s="49"/>
      <c r="H124" s="61"/>
      <c r="I124" s="61"/>
      <c r="J124" s="61"/>
      <c r="K124" s="49"/>
      <c r="L124" s="61"/>
      <c r="M124" s="61"/>
      <c r="N124" s="61"/>
      <c r="O124" s="49"/>
      <c r="P124" s="61"/>
      <c r="Q124" s="61"/>
      <c r="R124" s="61"/>
      <c r="S124" s="49"/>
      <c r="T124" s="61"/>
      <c r="U124" s="61"/>
      <c r="V124" s="61"/>
      <c r="W124" s="49"/>
      <c r="X124" s="61"/>
      <c r="Y124" s="61"/>
      <c r="Z124" s="61"/>
      <c r="AA124" s="49"/>
      <c r="AB124" s="61"/>
      <c r="AC124" s="61"/>
      <c r="AD124" s="61"/>
      <c r="AE124" s="49"/>
      <c r="AF124" s="61"/>
      <c r="AG124" s="61"/>
      <c r="AH124" s="61"/>
      <c r="AI124" s="49"/>
      <c r="AJ124" s="61"/>
      <c r="AK124" s="61"/>
      <c r="AL124" s="61"/>
      <c r="AM124" s="49"/>
      <c r="AN124" s="61"/>
      <c r="AO124" s="61"/>
      <c r="AP124" s="61"/>
      <c r="AQ124" s="49"/>
      <c r="AR124" s="61"/>
      <c r="AS124" s="61"/>
      <c r="AT124" s="61"/>
      <c r="AU124" s="49"/>
      <c r="AV124" s="61"/>
      <c r="AW124" s="61"/>
      <c r="AX124" s="61"/>
      <c r="AY124" s="49"/>
      <c r="AZ124" s="61"/>
      <c r="BA124" s="61"/>
    </row>
    <row r="125" spans="1:53" s="62" customFormat="1" x14ac:dyDescent="0.25">
      <c r="A125" s="38"/>
      <c r="B125" s="25"/>
      <c r="C125" s="49"/>
      <c r="D125" s="25"/>
      <c r="E125" s="25"/>
      <c r="F125" s="25"/>
      <c r="G125" s="49"/>
      <c r="H125" s="25"/>
      <c r="I125" s="25"/>
      <c r="J125" s="25"/>
      <c r="K125" s="49"/>
      <c r="L125" s="25"/>
      <c r="M125" s="25"/>
      <c r="N125" s="25"/>
      <c r="O125" s="49"/>
      <c r="P125" s="25"/>
      <c r="Q125" s="25"/>
      <c r="R125" s="25"/>
      <c r="S125" s="49"/>
      <c r="T125" s="25"/>
      <c r="U125" s="25"/>
      <c r="V125" s="25"/>
      <c r="W125" s="49"/>
      <c r="X125" s="25"/>
      <c r="Y125" s="25"/>
      <c r="Z125" s="25"/>
      <c r="AA125" s="49"/>
      <c r="AB125" s="25"/>
      <c r="AC125" s="25"/>
      <c r="AD125" s="25"/>
      <c r="AE125" s="49"/>
      <c r="AF125" s="25"/>
      <c r="AG125" s="25"/>
      <c r="AH125" s="25"/>
      <c r="AI125" s="49"/>
      <c r="AJ125" s="25"/>
      <c r="AK125" s="25"/>
      <c r="AL125" s="25"/>
      <c r="AM125" s="49"/>
      <c r="AN125" s="25"/>
      <c r="AO125" s="25"/>
      <c r="AP125" s="25"/>
      <c r="AQ125" s="49"/>
      <c r="AR125" s="25"/>
      <c r="AS125" s="25"/>
      <c r="AT125" s="25"/>
      <c r="AU125" s="49"/>
      <c r="AV125" s="25"/>
      <c r="AW125" s="25"/>
      <c r="AX125" s="25"/>
      <c r="AY125" s="49"/>
      <c r="AZ125" s="25"/>
      <c r="BA125" s="25"/>
    </row>
    <row r="126" spans="1:53" s="62" customFormat="1" x14ac:dyDescent="0.25">
      <c r="A126" s="31"/>
      <c r="B126" s="61"/>
      <c r="C126" s="49"/>
      <c r="D126" s="61"/>
      <c r="E126" s="61"/>
      <c r="F126" s="61"/>
      <c r="G126" s="49"/>
      <c r="H126" s="61"/>
      <c r="I126" s="61"/>
      <c r="J126" s="61"/>
      <c r="K126" s="49"/>
      <c r="L126" s="61"/>
      <c r="M126" s="61"/>
      <c r="N126" s="61"/>
      <c r="O126" s="49"/>
      <c r="P126" s="61"/>
      <c r="Q126" s="61"/>
      <c r="R126" s="61"/>
      <c r="S126" s="49"/>
      <c r="T126" s="61"/>
      <c r="U126" s="61"/>
      <c r="V126" s="61"/>
      <c r="W126" s="49"/>
      <c r="X126" s="61"/>
      <c r="Y126" s="61"/>
      <c r="Z126" s="61"/>
      <c r="AA126" s="49"/>
      <c r="AB126" s="61"/>
      <c r="AC126" s="61"/>
      <c r="AD126" s="61"/>
      <c r="AE126" s="49"/>
      <c r="AF126" s="61"/>
      <c r="AG126" s="61"/>
      <c r="AH126" s="61"/>
      <c r="AI126" s="49"/>
      <c r="AJ126" s="61"/>
      <c r="AK126" s="61"/>
      <c r="AL126" s="61"/>
      <c r="AM126" s="49"/>
      <c r="AN126" s="61"/>
      <c r="AO126" s="61"/>
      <c r="AP126" s="61"/>
      <c r="AQ126" s="49"/>
      <c r="AR126" s="61"/>
      <c r="AS126" s="61"/>
      <c r="AT126" s="61"/>
      <c r="AU126" s="49"/>
      <c r="AV126" s="61"/>
      <c r="AW126" s="61"/>
      <c r="AX126" s="61"/>
      <c r="AY126" s="49"/>
      <c r="AZ126" s="61"/>
      <c r="BA126" s="61"/>
    </row>
    <row r="127" spans="1:53" s="62" customFormat="1" x14ac:dyDescent="0.25">
      <c r="A127" s="38"/>
      <c r="B127" s="25"/>
      <c r="C127" s="49"/>
      <c r="D127" s="25"/>
      <c r="E127" s="25"/>
      <c r="F127" s="25"/>
      <c r="G127" s="49"/>
      <c r="H127" s="25"/>
      <c r="I127" s="25"/>
      <c r="J127" s="25"/>
      <c r="K127" s="49"/>
      <c r="L127" s="25"/>
      <c r="M127" s="25"/>
      <c r="N127" s="25"/>
      <c r="O127" s="49"/>
      <c r="P127" s="25"/>
      <c r="Q127" s="25"/>
      <c r="R127" s="25"/>
      <c r="S127" s="49"/>
      <c r="T127" s="25"/>
      <c r="U127" s="25"/>
      <c r="V127" s="25"/>
      <c r="W127" s="49"/>
      <c r="X127" s="25"/>
      <c r="Y127" s="25"/>
      <c r="Z127" s="25"/>
      <c r="AA127" s="49"/>
      <c r="AB127" s="25"/>
      <c r="AC127" s="25"/>
      <c r="AD127" s="25"/>
      <c r="AE127" s="49"/>
      <c r="AF127" s="25"/>
      <c r="AG127" s="25"/>
      <c r="AH127" s="25"/>
      <c r="AI127" s="49"/>
      <c r="AJ127" s="25"/>
      <c r="AK127" s="25"/>
      <c r="AL127" s="25"/>
      <c r="AM127" s="49"/>
      <c r="AN127" s="25"/>
      <c r="AO127" s="25"/>
      <c r="AP127" s="25"/>
      <c r="AQ127" s="49"/>
      <c r="AR127" s="25"/>
      <c r="AS127" s="25"/>
      <c r="AT127" s="25"/>
      <c r="AU127" s="49"/>
      <c r="AV127" s="25"/>
      <c r="AW127" s="25"/>
      <c r="AX127" s="25"/>
      <c r="AY127" s="49"/>
      <c r="AZ127" s="25"/>
      <c r="BA127" s="25"/>
    </row>
    <row r="128" spans="1:53" s="62" customFormat="1" x14ac:dyDescent="0.25">
      <c r="A128" s="31"/>
      <c r="B128" s="61"/>
      <c r="C128" s="49"/>
      <c r="D128" s="61"/>
      <c r="E128" s="61"/>
      <c r="F128" s="61"/>
      <c r="G128" s="49"/>
      <c r="H128" s="61"/>
      <c r="I128" s="61"/>
      <c r="J128" s="61"/>
      <c r="K128" s="49"/>
      <c r="L128" s="61"/>
      <c r="M128" s="61"/>
      <c r="N128" s="61"/>
      <c r="O128" s="49"/>
      <c r="P128" s="61"/>
      <c r="Q128" s="61"/>
      <c r="R128" s="61"/>
      <c r="S128" s="49"/>
      <c r="T128" s="61"/>
      <c r="U128" s="61"/>
      <c r="V128" s="61"/>
      <c r="W128" s="49"/>
      <c r="X128" s="61"/>
      <c r="Y128" s="61"/>
      <c r="Z128" s="61"/>
      <c r="AA128" s="49"/>
      <c r="AB128" s="61"/>
      <c r="AC128" s="61"/>
      <c r="AD128" s="61"/>
      <c r="AE128" s="49"/>
      <c r="AF128" s="61"/>
      <c r="AG128" s="61"/>
      <c r="AH128" s="61"/>
      <c r="AI128" s="49"/>
      <c r="AJ128" s="61"/>
      <c r="AK128" s="61"/>
      <c r="AL128" s="61"/>
      <c r="AM128" s="49"/>
      <c r="AN128" s="61"/>
      <c r="AO128" s="61"/>
      <c r="AP128" s="61"/>
      <c r="AQ128" s="49"/>
      <c r="AR128" s="61"/>
      <c r="AS128" s="61"/>
      <c r="AT128" s="61"/>
      <c r="AU128" s="49"/>
      <c r="AV128" s="61"/>
      <c r="AW128" s="61"/>
      <c r="AX128" s="61"/>
      <c r="AY128" s="49"/>
      <c r="AZ128" s="61"/>
      <c r="BA128" s="61"/>
    </row>
    <row r="129" spans="1:53" s="62" customFormat="1" x14ac:dyDescent="0.25">
      <c r="A129" s="38"/>
      <c r="B129" s="25"/>
      <c r="C129" s="49"/>
      <c r="D129" s="25"/>
      <c r="E129" s="25"/>
      <c r="F129" s="25"/>
      <c r="G129" s="49"/>
      <c r="H129" s="25"/>
      <c r="I129" s="25"/>
      <c r="J129" s="25"/>
      <c r="K129" s="49"/>
      <c r="L129" s="25"/>
      <c r="M129" s="25"/>
      <c r="N129" s="25"/>
      <c r="O129" s="49"/>
      <c r="P129" s="25"/>
      <c r="Q129" s="25"/>
      <c r="R129" s="25"/>
      <c r="S129" s="49"/>
      <c r="T129" s="25"/>
      <c r="U129" s="25"/>
      <c r="V129" s="25"/>
      <c r="W129" s="49"/>
      <c r="X129" s="25"/>
      <c r="Y129" s="25"/>
      <c r="Z129" s="25"/>
      <c r="AA129" s="49"/>
      <c r="AB129" s="25"/>
      <c r="AC129" s="25"/>
      <c r="AD129" s="25"/>
      <c r="AE129" s="49"/>
      <c r="AF129" s="25"/>
      <c r="AG129" s="25"/>
      <c r="AH129" s="25"/>
      <c r="AI129" s="49"/>
      <c r="AJ129" s="25"/>
      <c r="AK129" s="25"/>
      <c r="AL129" s="25"/>
      <c r="AM129" s="49"/>
      <c r="AN129" s="25"/>
      <c r="AO129" s="25"/>
      <c r="AP129" s="25"/>
      <c r="AQ129" s="49"/>
      <c r="AR129" s="25"/>
      <c r="AS129" s="25"/>
      <c r="AT129" s="25"/>
      <c r="AU129" s="49"/>
      <c r="AV129" s="25"/>
      <c r="AW129" s="25"/>
      <c r="AX129" s="25"/>
      <c r="AY129" s="49"/>
      <c r="AZ129" s="25"/>
      <c r="BA129" s="25"/>
    </row>
    <row r="130" spans="1:53" s="62" customFormat="1" x14ac:dyDescent="0.25">
      <c r="A130" s="31"/>
      <c r="B130" s="61"/>
      <c r="C130" s="49"/>
      <c r="D130" s="61"/>
      <c r="E130" s="61"/>
      <c r="F130" s="61"/>
      <c r="G130" s="49"/>
      <c r="H130" s="61"/>
      <c r="I130" s="61"/>
      <c r="J130" s="61"/>
      <c r="K130" s="49"/>
      <c r="L130" s="61"/>
      <c r="M130" s="61"/>
      <c r="N130" s="61"/>
      <c r="O130" s="49"/>
      <c r="P130" s="61"/>
      <c r="Q130" s="61"/>
      <c r="R130" s="61"/>
      <c r="S130" s="49"/>
      <c r="T130" s="61"/>
      <c r="U130" s="61"/>
      <c r="V130" s="61"/>
      <c r="W130" s="49"/>
      <c r="X130" s="61"/>
      <c r="Y130" s="61"/>
      <c r="Z130" s="61"/>
      <c r="AA130" s="49"/>
      <c r="AB130" s="61"/>
      <c r="AC130" s="61"/>
      <c r="AD130" s="61"/>
      <c r="AE130" s="49"/>
      <c r="AF130" s="61"/>
      <c r="AG130" s="61"/>
      <c r="AH130" s="61"/>
      <c r="AI130" s="49"/>
      <c r="AJ130" s="61"/>
      <c r="AK130" s="61"/>
      <c r="AL130" s="61"/>
      <c r="AM130" s="49"/>
      <c r="AN130" s="61"/>
      <c r="AO130" s="61"/>
      <c r="AP130" s="61"/>
      <c r="AQ130" s="49"/>
      <c r="AR130" s="61"/>
      <c r="AS130" s="61"/>
      <c r="AT130" s="61"/>
      <c r="AU130" s="49"/>
      <c r="AV130" s="61"/>
      <c r="AW130" s="61"/>
      <c r="AX130" s="61"/>
      <c r="AY130" s="49"/>
      <c r="AZ130" s="61"/>
      <c r="BA130" s="61"/>
    </row>
    <row r="131" spans="1:53" s="62" customFormat="1" x14ac:dyDescent="0.25">
      <c r="A131" s="38"/>
      <c r="B131" s="25"/>
      <c r="C131" s="49"/>
      <c r="D131" s="25"/>
      <c r="E131" s="25"/>
      <c r="F131" s="25"/>
      <c r="G131" s="49"/>
      <c r="H131" s="25"/>
      <c r="I131" s="25"/>
      <c r="J131" s="25"/>
      <c r="K131" s="49"/>
      <c r="L131" s="25"/>
      <c r="M131" s="25"/>
      <c r="N131" s="25"/>
      <c r="O131" s="49"/>
      <c r="P131" s="25"/>
      <c r="Q131" s="25"/>
      <c r="R131" s="25"/>
      <c r="S131" s="49"/>
      <c r="T131" s="25"/>
      <c r="U131" s="25"/>
      <c r="V131" s="25"/>
      <c r="W131" s="49"/>
      <c r="X131" s="25"/>
      <c r="Y131" s="25"/>
      <c r="Z131" s="25"/>
      <c r="AA131" s="49"/>
      <c r="AB131" s="25"/>
      <c r="AC131" s="25"/>
      <c r="AD131" s="25"/>
      <c r="AE131" s="49"/>
      <c r="AF131" s="25"/>
      <c r="AG131" s="25"/>
      <c r="AH131" s="25"/>
      <c r="AI131" s="49"/>
      <c r="AJ131" s="25"/>
      <c r="AK131" s="25"/>
      <c r="AL131" s="25"/>
      <c r="AM131" s="49"/>
      <c r="AN131" s="25"/>
      <c r="AO131" s="25"/>
      <c r="AP131" s="25"/>
      <c r="AQ131" s="49"/>
      <c r="AR131" s="25"/>
      <c r="AS131" s="25"/>
      <c r="AT131" s="25"/>
      <c r="AU131" s="49"/>
      <c r="AV131" s="25"/>
      <c r="AW131" s="25"/>
      <c r="AX131" s="25"/>
      <c r="AY131" s="49"/>
      <c r="AZ131" s="25"/>
      <c r="BA131" s="25"/>
    </row>
    <row r="132" spans="1:53" s="62" customFormat="1" x14ac:dyDescent="0.25">
      <c r="A132" s="31"/>
      <c r="B132" s="61"/>
      <c r="C132" s="49"/>
      <c r="D132" s="61"/>
      <c r="E132" s="61"/>
      <c r="F132" s="61"/>
      <c r="G132" s="49"/>
      <c r="H132" s="61"/>
      <c r="I132" s="61"/>
      <c r="J132" s="61"/>
      <c r="K132" s="49"/>
      <c r="L132" s="61"/>
      <c r="M132" s="61"/>
      <c r="N132" s="61"/>
      <c r="O132" s="49"/>
      <c r="P132" s="61"/>
      <c r="Q132" s="61"/>
      <c r="R132" s="61"/>
      <c r="S132" s="49"/>
      <c r="T132" s="61"/>
      <c r="U132" s="61"/>
      <c r="V132" s="61"/>
      <c r="W132" s="49"/>
      <c r="X132" s="61"/>
      <c r="Y132" s="61"/>
      <c r="Z132" s="61"/>
      <c r="AA132" s="49"/>
      <c r="AB132" s="61"/>
      <c r="AC132" s="61"/>
      <c r="AD132" s="61"/>
      <c r="AE132" s="49"/>
      <c r="AF132" s="61"/>
      <c r="AG132" s="61"/>
      <c r="AH132" s="61"/>
      <c r="AI132" s="49"/>
      <c r="AJ132" s="61"/>
      <c r="AK132" s="61"/>
      <c r="AL132" s="61"/>
      <c r="AM132" s="49"/>
      <c r="AN132" s="61"/>
      <c r="AO132" s="61"/>
      <c r="AP132" s="61"/>
      <c r="AQ132" s="49"/>
      <c r="AR132" s="61"/>
      <c r="AS132" s="61"/>
      <c r="AT132" s="61"/>
      <c r="AU132" s="49"/>
      <c r="AV132" s="61"/>
      <c r="AW132" s="61"/>
      <c r="AX132" s="61"/>
      <c r="AY132" s="49"/>
      <c r="AZ132" s="61"/>
      <c r="BA132" s="61"/>
    </row>
    <row r="133" spans="1:53" s="62" customFormat="1" x14ac:dyDescent="0.25">
      <c r="A133" s="38"/>
      <c r="B133" s="25"/>
      <c r="C133" s="49"/>
      <c r="D133" s="25"/>
      <c r="E133" s="25"/>
      <c r="F133" s="25"/>
      <c r="G133" s="49"/>
      <c r="H133" s="25"/>
      <c r="I133" s="25"/>
      <c r="J133" s="25"/>
      <c r="K133" s="49"/>
      <c r="L133" s="25"/>
      <c r="M133" s="25"/>
      <c r="N133" s="25"/>
      <c r="O133" s="49"/>
      <c r="P133" s="25"/>
      <c r="Q133" s="25"/>
      <c r="R133" s="25"/>
      <c r="S133" s="49"/>
      <c r="T133" s="25"/>
      <c r="U133" s="25"/>
      <c r="V133" s="25"/>
      <c r="W133" s="49"/>
      <c r="X133" s="25"/>
      <c r="Y133" s="25"/>
      <c r="Z133" s="25"/>
      <c r="AA133" s="49"/>
      <c r="AB133" s="25"/>
      <c r="AC133" s="25"/>
      <c r="AD133" s="25"/>
      <c r="AE133" s="49"/>
      <c r="AF133" s="25"/>
      <c r="AG133" s="25"/>
      <c r="AH133" s="25"/>
      <c r="AI133" s="49"/>
      <c r="AJ133" s="25"/>
      <c r="AK133" s="25"/>
      <c r="AL133" s="25"/>
      <c r="AM133" s="49"/>
      <c r="AN133" s="25"/>
      <c r="AO133" s="25"/>
      <c r="AP133" s="25"/>
      <c r="AQ133" s="49"/>
      <c r="AR133" s="25"/>
      <c r="AS133" s="25"/>
      <c r="AT133" s="25"/>
      <c r="AU133" s="49"/>
      <c r="AV133" s="25"/>
      <c r="AW133" s="25"/>
      <c r="AX133" s="25"/>
      <c r="AY133" s="49"/>
      <c r="AZ133" s="25"/>
      <c r="BA133" s="25"/>
    </row>
    <row r="134" spans="1:53" s="62" customFormat="1" x14ac:dyDescent="0.25">
      <c r="A134" s="31"/>
      <c r="B134" s="61"/>
      <c r="C134" s="49"/>
      <c r="D134" s="61"/>
      <c r="E134" s="61"/>
      <c r="F134" s="61"/>
      <c r="G134" s="49"/>
      <c r="H134" s="61"/>
      <c r="I134" s="61"/>
      <c r="J134" s="61"/>
      <c r="K134" s="49"/>
      <c r="L134" s="61"/>
      <c r="M134" s="61"/>
      <c r="N134" s="61"/>
      <c r="O134" s="49"/>
      <c r="P134" s="61"/>
      <c r="Q134" s="61"/>
      <c r="R134" s="61"/>
      <c r="S134" s="49"/>
      <c r="T134" s="61"/>
      <c r="U134" s="61"/>
      <c r="V134" s="61"/>
      <c r="W134" s="49"/>
      <c r="X134" s="61"/>
      <c r="Y134" s="61"/>
      <c r="Z134" s="61"/>
      <c r="AA134" s="49"/>
      <c r="AB134" s="61"/>
      <c r="AC134" s="61"/>
      <c r="AD134" s="61"/>
      <c r="AE134" s="49"/>
      <c r="AF134" s="61"/>
      <c r="AG134" s="61"/>
      <c r="AH134" s="61"/>
      <c r="AI134" s="49"/>
      <c r="AJ134" s="61"/>
      <c r="AK134" s="61"/>
      <c r="AL134" s="61"/>
      <c r="AM134" s="49"/>
      <c r="AN134" s="61"/>
      <c r="AO134" s="61"/>
      <c r="AP134" s="61"/>
      <c r="AQ134" s="49"/>
      <c r="AR134" s="61"/>
      <c r="AS134" s="61"/>
      <c r="AT134" s="61"/>
      <c r="AU134" s="49"/>
      <c r="AV134" s="61"/>
      <c r="AW134" s="61"/>
      <c r="AX134" s="61"/>
      <c r="AY134" s="49"/>
      <c r="AZ134" s="61"/>
      <c r="BA134" s="61"/>
    </row>
    <row r="135" spans="1:53" s="62" customFormat="1" x14ac:dyDescent="0.25">
      <c r="A135" s="38"/>
      <c r="B135" s="25"/>
      <c r="C135" s="49"/>
      <c r="D135" s="25"/>
      <c r="E135" s="25"/>
      <c r="F135" s="25"/>
      <c r="G135" s="49"/>
      <c r="H135" s="25"/>
      <c r="I135" s="25"/>
      <c r="J135" s="25"/>
      <c r="K135" s="49"/>
      <c r="L135" s="25"/>
      <c r="M135" s="25"/>
      <c r="N135" s="25"/>
      <c r="O135" s="49"/>
      <c r="P135" s="25"/>
      <c r="Q135" s="25"/>
      <c r="R135" s="25"/>
      <c r="S135" s="49"/>
      <c r="T135" s="25"/>
      <c r="U135" s="25"/>
      <c r="V135" s="25"/>
      <c r="W135" s="49"/>
      <c r="X135" s="25"/>
      <c r="Y135" s="25"/>
      <c r="Z135" s="25"/>
      <c r="AA135" s="49"/>
      <c r="AB135" s="25"/>
      <c r="AC135" s="25"/>
      <c r="AD135" s="25"/>
      <c r="AE135" s="49"/>
      <c r="AF135" s="25"/>
      <c r="AG135" s="25"/>
      <c r="AH135" s="25"/>
      <c r="AI135" s="49"/>
      <c r="AJ135" s="25"/>
      <c r="AK135" s="25"/>
      <c r="AL135" s="25"/>
      <c r="AM135" s="49"/>
      <c r="AN135" s="25"/>
      <c r="AO135" s="25"/>
      <c r="AP135" s="25"/>
      <c r="AQ135" s="49"/>
      <c r="AR135" s="25"/>
      <c r="AS135" s="25"/>
      <c r="AT135" s="25"/>
      <c r="AU135" s="49"/>
      <c r="AV135" s="25"/>
      <c r="AW135" s="25"/>
      <c r="AX135" s="25"/>
      <c r="AY135" s="49"/>
      <c r="AZ135" s="25"/>
      <c r="BA135" s="25"/>
    </row>
    <row r="136" spans="1:53" s="62" customFormat="1" x14ac:dyDescent="0.25">
      <c r="A136" s="31"/>
      <c r="B136" s="61"/>
      <c r="C136" s="49"/>
      <c r="D136" s="61"/>
      <c r="E136" s="61"/>
      <c r="F136" s="61"/>
      <c r="G136" s="49"/>
      <c r="H136" s="61"/>
      <c r="I136" s="61"/>
      <c r="J136" s="61"/>
      <c r="K136" s="49"/>
      <c r="L136" s="61"/>
      <c r="M136" s="61"/>
      <c r="N136" s="61"/>
      <c r="O136" s="49"/>
      <c r="P136" s="61"/>
      <c r="Q136" s="61"/>
      <c r="R136" s="61"/>
      <c r="S136" s="49"/>
      <c r="T136" s="61"/>
      <c r="U136" s="61"/>
      <c r="V136" s="61"/>
      <c r="W136" s="49"/>
      <c r="X136" s="61"/>
      <c r="Y136" s="61"/>
      <c r="Z136" s="61"/>
      <c r="AA136" s="49"/>
      <c r="AB136" s="61"/>
      <c r="AC136" s="61"/>
      <c r="AD136" s="61"/>
      <c r="AE136" s="49"/>
      <c r="AF136" s="61"/>
      <c r="AG136" s="61"/>
      <c r="AH136" s="61"/>
      <c r="AI136" s="49"/>
      <c r="AJ136" s="61"/>
      <c r="AK136" s="61"/>
      <c r="AL136" s="61"/>
      <c r="AM136" s="49"/>
      <c r="AN136" s="61"/>
      <c r="AO136" s="61"/>
      <c r="AP136" s="61"/>
      <c r="AQ136" s="49"/>
      <c r="AR136" s="61"/>
      <c r="AS136" s="61"/>
      <c r="AT136" s="61"/>
      <c r="AU136" s="49"/>
      <c r="AV136" s="61"/>
      <c r="AW136" s="61"/>
      <c r="AX136" s="61"/>
      <c r="AY136" s="49"/>
      <c r="AZ136" s="61"/>
      <c r="BA136" s="61"/>
    </row>
    <row r="137" spans="1:53" s="62" customFormat="1" x14ac:dyDescent="0.25">
      <c r="A137" s="38"/>
      <c r="B137" s="25"/>
      <c r="C137" s="49"/>
      <c r="D137" s="25"/>
      <c r="E137" s="25"/>
      <c r="F137" s="25"/>
      <c r="G137" s="49"/>
      <c r="H137" s="25"/>
      <c r="I137" s="25"/>
      <c r="J137" s="25"/>
      <c r="K137" s="49"/>
      <c r="L137" s="25"/>
      <c r="M137" s="25"/>
      <c r="N137" s="25"/>
      <c r="O137" s="49"/>
      <c r="P137" s="25"/>
      <c r="Q137" s="25"/>
      <c r="R137" s="25"/>
      <c r="S137" s="49"/>
      <c r="T137" s="25"/>
      <c r="U137" s="25"/>
      <c r="V137" s="25"/>
      <c r="W137" s="49"/>
      <c r="X137" s="25"/>
      <c r="Y137" s="25"/>
      <c r="Z137" s="25"/>
      <c r="AA137" s="49"/>
      <c r="AB137" s="25"/>
      <c r="AC137" s="25"/>
      <c r="AD137" s="25"/>
      <c r="AE137" s="49"/>
      <c r="AF137" s="25"/>
      <c r="AG137" s="25"/>
      <c r="AH137" s="25"/>
      <c r="AI137" s="49"/>
      <c r="AJ137" s="25"/>
      <c r="AK137" s="25"/>
      <c r="AL137" s="25"/>
      <c r="AM137" s="49"/>
      <c r="AN137" s="25"/>
      <c r="AO137" s="25"/>
      <c r="AP137" s="25"/>
      <c r="AQ137" s="49"/>
      <c r="AR137" s="25"/>
      <c r="AS137" s="25"/>
      <c r="AT137" s="25"/>
      <c r="AU137" s="49"/>
      <c r="AV137" s="25"/>
      <c r="AW137" s="25"/>
      <c r="AX137" s="25"/>
      <c r="AY137" s="49"/>
      <c r="AZ137" s="25"/>
      <c r="BA137" s="25"/>
    </row>
    <row r="138" spans="1:53" s="62" customFormat="1" x14ac:dyDescent="0.25">
      <c r="A138" s="31"/>
      <c r="B138" s="61"/>
      <c r="C138" s="49"/>
      <c r="D138" s="61"/>
      <c r="E138" s="61"/>
      <c r="F138" s="61"/>
      <c r="G138" s="49"/>
      <c r="H138" s="61"/>
      <c r="I138" s="61"/>
      <c r="J138" s="61"/>
      <c r="K138" s="49"/>
      <c r="L138" s="61"/>
      <c r="M138" s="61"/>
      <c r="N138" s="61"/>
      <c r="O138" s="49"/>
      <c r="P138" s="61"/>
      <c r="Q138" s="61"/>
      <c r="R138" s="61"/>
      <c r="S138" s="49"/>
      <c r="T138" s="61"/>
      <c r="U138" s="61"/>
      <c r="V138" s="61"/>
      <c r="W138" s="49"/>
      <c r="X138" s="61"/>
      <c r="Y138" s="61"/>
      <c r="Z138" s="61"/>
      <c r="AA138" s="49"/>
      <c r="AB138" s="61"/>
      <c r="AC138" s="61"/>
      <c r="AD138" s="61"/>
      <c r="AE138" s="49"/>
      <c r="AF138" s="61"/>
      <c r="AG138" s="61"/>
      <c r="AH138" s="61"/>
      <c r="AI138" s="49"/>
      <c r="AJ138" s="61"/>
      <c r="AK138" s="61"/>
      <c r="AL138" s="61"/>
      <c r="AM138" s="49"/>
      <c r="AN138" s="61"/>
      <c r="AO138" s="61"/>
      <c r="AP138" s="61"/>
      <c r="AQ138" s="49"/>
      <c r="AR138" s="61"/>
      <c r="AS138" s="61"/>
      <c r="AT138" s="61"/>
      <c r="AU138" s="49"/>
      <c r="AV138" s="61"/>
      <c r="AW138" s="61"/>
      <c r="AX138" s="61"/>
      <c r="AY138" s="49"/>
      <c r="AZ138" s="61"/>
      <c r="BA138" s="61"/>
    </row>
    <row r="139" spans="1:53" s="62" customFormat="1" x14ac:dyDescent="0.25">
      <c r="A139" s="38"/>
      <c r="B139" s="25"/>
      <c r="C139" s="49"/>
      <c r="D139" s="25"/>
      <c r="E139" s="25"/>
      <c r="F139" s="25"/>
      <c r="G139" s="49"/>
      <c r="H139" s="25"/>
      <c r="I139" s="25"/>
      <c r="J139" s="25"/>
      <c r="K139" s="49"/>
      <c r="L139" s="25"/>
      <c r="M139" s="25"/>
      <c r="N139" s="25"/>
      <c r="O139" s="49"/>
      <c r="P139" s="25"/>
      <c r="Q139" s="25"/>
      <c r="R139" s="25"/>
      <c r="S139" s="49"/>
      <c r="T139" s="25"/>
      <c r="U139" s="25"/>
      <c r="V139" s="25"/>
      <c r="W139" s="49"/>
      <c r="X139" s="25"/>
      <c r="Y139" s="25"/>
      <c r="Z139" s="25"/>
      <c r="AA139" s="49"/>
      <c r="AB139" s="25"/>
      <c r="AC139" s="25"/>
      <c r="AD139" s="25"/>
      <c r="AE139" s="49"/>
      <c r="AF139" s="25"/>
      <c r="AG139" s="25"/>
      <c r="AH139" s="25"/>
      <c r="AI139" s="49"/>
      <c r="AJ139" s="25"/>
      <c r="AK139" s="25"/>
      <c r="AL139" s="25"/>
      <c r="AM139" s="49"/>
      <c r="AN139" s="25"/>
      <c r="AO139" s="25"/>
      <c r="AP139" s="25"/>
      <c r="AQ139" s="49"/>
      <c r="AR139" s="25"/>
      <c r="AS139" s="25"/>
      <c r="AT139" s="25"/>
      <c r="AU139" s="49"/>
      <c r="AV139" s="25"/>
      <c r="AW139" s="25"/>
      <c r="AX139" s="25"/>
      <c r="AY139" s="49"/>
      <c r="AZ139" s="25"/>
      <c r="BA139" s="25"/>
    </row>
    <row r="140" spans="1:53" s="62" customFormat="1" x14ac:dyDescent="0.25">
      <c r="A140" s="31"/>
      <c r="B140" s="61"/>
      <c r="C140" s="49"/>
      <c r="D140" s="61"/>
      <c r="E140" s="61"/>
      <c r="F140" s="61"/>
      <c r="G140" s="49"/>
      <c r="H140" s="61"/>
      <c r="I140" s="61"/>
      <c r="J140" s="61"/>
      <c r="K140" s="49"/>
      <c r="L140" s="61"/>
      <c r="M140" s="61"/>
      <c r="N140" s="61"/>
      <c r="O140" s="49"/>
      <c r="P140" s="61"/>
      <c r="Q140" s="61"/>
      <c r="R140" s="61"/>
      <c r="S140" s="49"/>
      <c r="T140" s="61"/>
      <c r="U140" s="61"/>
      <c r="V140" s="61"/>
      <c r="W140" s="49"/>
      <c r="X140" s="61"/>
      <c r="Y140" s="61"/>
      <c r="Z140" s="61"/>
      <c r="AA140" s="49"/>
      <c r="AB140" s="61"/>
      <c r="AC140" s="61"/>
      <c r="AD140" s="61"/>
      <c r="AE140" s="49"/>
      <c r="AF140" s="61"/>
      <c r="AG140" s="61"/>
      <c r="AH140" s="61"/>
      <c r="AI140" s="49"/>
      <c r="AJ140" s="61"/>
      <c r="AK140" s="61"/>
      <c r="AL140" s="61"/>
      <c r="AM140" s="49"/>
      <c r="AN140" s="61"/>
      <c r="AO140" s="61"/>
      <c r="AP140" s="61"/>
      <c r="AQ140" s="49"/>
      <c r="AR140" s="61"/>
      <c r="AS140" s="61"/>
      <c r="AT140" s="61"/>
      <c r="AU140" s="49"/>
      <c r="AV140" s="61"/>
      <c r="AW140" s="61"/>
      <c r="AX140" s="61"/>
      <c r="AY140" s="49"/>
      <c r="AZ140" s="61"/>
      <c r="BA140" s="61"/>
    </row>
    <row r="141" spans="1:53" s="62" customFormat="1" x14ac:dyDescent="0.25">
      <c r="A141" s="38"/>
      <c r="B141" s="25"/>
      <c r="C141" s="49"/>
      <c r="D141" s="25"/>
      <c r="E141" s="25"/>
      <c r="F141" s="25"/>
      <c r="G141" s="49"/>
      <c r="H141" s="25"/>
      <c r="I141" s="25"/>
      <c r="J141" s="25"/>
      <c r="K141" s="49"/>
      <c r="L141" s="25"/>
      <c r="M141" s="25"/>
      <c r="N141" s="25"/>
      <c r="O141" s="49"/>
      <c r="P141" s="25"/>
      <c r="Q141" s="25"/>
      <c r="R141" s="25"/>
      <c r="S141" s="49"/>
      <c r="T141" s="25"/>
      <c r="U141" s="25"/>
      <c r="V141" s="25"/>
      <c r="W141" s="49"/>
      <c r="X141" s="25"/>
      <c r="Y141" s="25"/>
      <c r="Z141" s="25"/>
      <c r="AA141" s="49"/>
      <c r="AB141" s="25"/>
      <c r="AC141" s="25"/>
      <c r="AD141" s="25"/>
      <c r="AE141" s="49"/>
      <c r="AF141" s="25"/>
      <c r="AG141" s="25"/>
      <c r="AH141" s="25"/>
      <c r="AI141" s="49"/>
      <c r="AJ141" s="25"/>
      <c r="AK141" s="25"/>
      <c r="AL141" s="25"/>
      <c r="AM141" s="49"/>
      <c r="AN141" s="25"/>
      <c r="AO141" s="25"/>
      <c r="AP141" s="25"/>
      <c r="AQ141" s="49"/>
      <c r="AR141" s="25"/>
      <c r="AS141" s="25"/>
      <c r="AT141" s="25"/>
      <c r="AU141" s="49"/>
      <c r="AV141" s="25"/>
      <c r="AW141" s="25"/>
      <c r="AX141" s="25"/>
      <c r="AY141" s="49"/>
      <c r="AZ141" s="25"/>
      <c r="BA141" s="25"/>
    </row>
    <row r="142" spans="1:53" s="62" customFormat="1" x14ac:dyDescent="0.25">
      <c r="A142" s="31"/>
      <c r="B142" s="61"/>
      <c r="C142" s="49"/>
      <c r="D142" s="61"/>
      <c r="E142" s="61"/>
      <c r="F142" s="61"/>
      <c r="G142" s="49"/>
      <c r="H142" s="61"/>
      <c r="I142" s="61"/>
      <c r="J142" s="61"/>
      <c r="K142" s="49"/>
      <c r="L142" s="61"/>
      <c r="M142" s="61"/>
      <c r="N142" s="61"/>
      <c r="O142" s="49"/>
      <c r="P142" s="61"/>
      <c r="Q142" s="61"/>
      <c r="R142" s="61"/>
      <c r="S142" s="49"/>
      <c r="T142" s="61"/>
      <c r="U142" s="61"/>
      <c r="V142" s="61"/>
      <c r="W142" s="49"/>
      <c r="X142" s="61"/>
      <c r="Y142" s="61"/>
      <c r="Z142" s="61"/>
      <c r="AA142" s="49"/>
      <c r="AB142" s="61"/>
      <c r="AC142" s="61"/>
      <c r="AD142" s="61"/>
      <c r="AE142" s="49"/>
      <c r="AF142" s="61"/>
      <c r="AG142" s="61"/>
      <c r="AH142" s="61"/>
      <c r="AI142" s="49"/>
      <c r="AJ142" s="61"/>
      <c r="AK142" s="61"/>
      <c r="AL142" s="61"/>
      <c r="AM142" s="49"/>
      <c r="AN142" s="61"/>
      <c r="AO142" s="61"/>
      <c r="AP142" s="61"/>
      <c r="AQ142" s="49"/>
      <c r="AR142" s="61"/>
      <c r="AS142" s="61"/>
      <c r="AT142" s="61"/>
      <c r="AU142" s="49"/>
      <c r="AV142" s="61"/>
      <c r="AW142" s="61"/>
      <c r="AX142" s="61"/>
      <c r="AY142" s="49"/>
      <c r="AZ142" s="61"/>
      <c r="BA142" s="61"/>
    </row>
    <row r="143" spans="1:53" s="62" customFormat="1" x14ac:dyDescent="0.25">
      <c r="A143" s="38"/>
      <c r="B143" s="25"/>
      <c r="C143" s="49"/>
      <c r="D143" s="25"/>
      <c r="E143" s="25"/>
      <c r="F143" s="25"/>
      <c r="G143" s="49"/>
      <c r="H143" s="25"/>
      <c r="I143" s="25"/>
      <c r="J143" s="25"/>
      <c r="K143" s="49"/>
      <c r="L143" s="25"/>
      <c r="M143" s="25"/>
      <c r="N143" s="25"/>
      <c r="O143" s="49"/>
      <c r="P143" s="25"/>
      <c r="Q143" s="25"/>
      <c r="R143" s="25"/>
      <c r="S143" s="49"/>
      <c r="T143" s="25"/>
      <c r="U143" s="25"/>
      <c r="V143" s="25"/>
      <c r="W143" s="49"/>
      <c r="X143" s="25"/>
      <c r="Y143" s="25"/>
      <c r="Z143" s="25"/>
      <c r="AA143" s="49"/>
      <c r="AB143" s="25"/>
      <c r="AC143" s="25"/>
      <c r="AD143" s="25"/>
      <c r="AE143" s="49"/>
      <c r="AF143" s="25"/>
      <c r="AG143" s="25"/>
      <c r="AH143" s="25"/>
      <c r="AI143" s="49"/>
      <c r="AJ143" s="25"/>
      <c r="AK143" s="25"/>
      <c r="AL143" s="25"/>
      <c r="AM143" s="49"/>
      <c r="AN143" s="25"/>
      <c r="AO143" s="25"/>
      <c r="AP143" s="25"/>
      <c r="AQ143" s="49"/>
      <c r="AR143" s="25"/>
      <c r="AS143" s="25"/>
      <c r="AT143" s="25"/>
      <c r="AU143" s="49"/>
      <c r="AV143" s="25"/>
      <c r="AW143" s="25"/>
      <c r="AX143" s="25"/>
      <c r="AY143" s="49"/>
      <c r="AZ143" s="25"/>
      <c r="BA143" s="25"/>
    </row>
    <row r="144" spans="1:53" s="62" customFormat="1" x14ac:dyDescent="0.25">
      <c r="A144" s="31"/>
      <c r="B144" s="61"/>
      <c r="C144" s="49"/>
      <c r="D144" s="61"/>
      <c r="E144" s="61"/>
      <c r="F144" s="61"/>
      <c r="G144" s="49"/>
      <c r="H144" s="61"/>
      <c r="I144" s="61"/>
      <c r="J144" s="61"/>
      <c r="K144" s="49"/>
      <c r="L144" s="61"/>
      <c r="M144" s="61"/>
      <c r="N144" s="61"/>
      <c r="O144" s="49"/>
      <c r="P144" s="61"/>
      <c r="Q144" s="61"/>
      <c r="R144" s="61"/>
      <c r="S144" s="49"/>
      <c r="T144" s="61"/>
      <c r="U144" s="61"/>
      <c r="V144" s="61"/>
      <c r="W144" s="49"/>
      <c r="X144" s="61"/>
      <c r="Y144" s="61"/>
      <c r="Z144" s="61"/>
      <c r="AA144" s="49"/>
      <c r="AB144" s="61"/>
      <c r="AC144" s="61"/>
      <c r="AD144" s="61"/>
      <c r="AE144" s="49"/>
      <c r="AF144" s="61"/>
      <c r="AG144" s="61"/>
      <c r="AH144" s="61"/>
      <c r="AI144" s="49"/>
      <c r="AJ144" s="61"/>
      <c r="AK144" s="61"/>
      <c r="AL144" s="61"/>
      <c r="AM144" s="49"/>
      <c r="AN144" s="61"/>
      <c r="AO144" s="61"/>
      <c r="AP144" s="61"/>
      <c r="AQ144" s="49"/>
      <c r="AR144" s="61"/>
      <c r="AS144" s="61"/>
      <c r="AT144" s="61"/>
      <c r="AU144" s="49"/>
      <c r="AV144" s="61"/>
      <c r="AW144" s="61"/>
      <c r="AX144" s="61"/>
      <c r="AY144" s="49"/>
      <c r="AZ144" s="61"/>
      <c r="BA144" s="61"/>
    </row>
  </sheetData>
  <phoneticPr fontId="2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C683-1BA4-415A-9286-99B7FEAFAF9B}">
  <sheetPr codeName="Tabelle5"/>
  <dimension ref="A1:BA57"/>
  <sheetViews>
    <sheetView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A42" sqref="A16:A42"/>
    </sheetView>
  </sheetViews>
  <sheetFormatPr baseColWidth="10" defaultRowHeight="15" outlineLevelCol="1" x14ac:dyDescent="0.25"/>
  <cols>
    <col min="1" max="1" width="23.140625" style="31" bestFit="1" customWidth="1"/>
    <col min="2" max="2" width="10.5703125" customWidth="1" outlineLevel="1"/>
    <col min="3" max="3" width="7.7109375" customWidth="1"/>
    <col min="4" max="6" width="9.7109375" customWidth="1" outlineLevel="1"/>
    <col min="7" max="7" width="7.7109375" customWidth="1"/>
    <col min="8" max="10" width="9.7109375" customWidth="1" outlineLevel="1"/>
    <col min="11" max="11" width="7.7109375" customWidth="1"/>
    <col min="12" max="14" width="9.7109375" customWidth="1" outlineLevel="1"/>
    <col min="15" max="15" width="7.7109375" customWidth="1"/>
    <col min="16" max="18" width="9.7109375" customWidth="1" outlineLevel="1"/>
    <col min="19" max="19" width="7.7109375" customWidth="1"/>
    <col min="20" max="22" width="9.7109375" customWidth="1" outlineLevel="1"/>
    <col min="23" max="23" width="7.7109375" customWidth="1"/>
    <col min="24" max="26" width="9.7109375" customWidth="1" outlineLevel="1"/>
    <col min="27" max="27" width="7.7109375" customWidth="1"/>
    <col min="28" max="30" width="9.7109375" customWidth="1" outlineLevel="1"/>
    <col min="31" max="31" width="7.7109375" customWidth="1"/>
    <col min="32" max="34" width="9.7109375" customWidth="1" outlineLevel="1"/>
    <col min="35" max="35" width="7.7109375" customWidth="1"/>
    <col min="36" max="38" width="9.7109375" customWidth="1" outlineLevel="1"/>
    <col min="39" max="39" width="7.7109375" customWidth="1"/>
    <col min="40" max="42" width="9.7109375" customWidth="1" outlineLevel="1"/>
    <col min="43" max="43" width="7.7109375" customWidth="1"/>
    <col min="44" max="46" width="9.7109375" customWidth="1" outlineLevel="1"/>
    <col min="47" max="47" width="7.7109375" customWidth="1"/>
    <col min="48" max="50" width="9.7109375" customWidth="1" outlineLevel="1"/>
    <col min="51" max="51" width="7.7109375" customWidth="1"/>
  </cols>
  <sheetData>
    <row r="1" spans="1:53" ht="24.95" customHeight="1" x14ac:dyDescent="0.25"/>
    <row r="2" spans="1:53" ht="24.95" customHeight="1" x14ac:dyDescent="0.25">
      <c r="A2" s="31" t="s">
        <v>1371</v>
      </c>
      <c r="C2" s="45">
        <f>Kabel!E7</f>
        <v>15</v>
      </c>
      <c r="D2" s="45"/>
      <c r="E2" s="45"/>
      <c r="F2" s="45"/>
      <c r="G2" s="45">
        <f>Kabel!E4</f>
        <v>1000</v>
      </c>
      <c r="H2" s="45"/>
      <c r="I2" s="45"/>
      <c r="J2" s="45"/>
      <c r="K2" s="45">
        <f>Kabel!E5</f>
        <v>3000</v>
      </c>
      <c r="L2" s="45"/>
      <c r="M2" s="45"/>
      <c r="N2" s="45"/>
      <c r="O2" s="45">
        <f>Kabel!E17</f>
        <v>950</v>
      </c>
      <c r="P2" s="45"/>
      <c r="Q2" s="45"/>
      <c r="R2" s="45"/>
      <c r="S2" s="45">
        <f>Kabel!E6</f>
        <v>1500</v>
      </c>
      <c r="T2" s="45"/>
      <c r="U2" s="45"/>
      <c r="V2" s="45"/>
      <c r="W2" s="45">
        <f>Kabel!E18</f>
        <v>500</v>
      </c>
      <c r="X2" s="45"/>
      <c r="Y2" s="45"/>
      <c r="Z2" s="45"/>
      <c r="AA2" s="45">
        <f>Kabel!E9</f>
        <v>1000</v>
      </c>
      <c r="AB2" s="45"/>
      <c r="AC2" s="45"/>
      <c r="AD2" s="45"/>
      <c r="AE2" s="45">
        <f>Kabel!E13</f>
        <v>2000</v>
      </c>
      <c r="AF2" s="45"/>
      <c r="AG2" s="45"/>
      <c r="AH2" s="45"/>
      <c r="AI2" s="45">
        <f>Kabel!E10</f>
        <v>500</v>
      </c>
      <c r="AJ2" s="45"/>
      <c r="AK2" s="45"/>
      <c r="AL2" s="45"/>
      <c r="AM2" s="45">
        <f>Kabel!E11</f>
        <v>500</v>
      </c>
      <c r="AN2" s="45"/>
      <c r="AO2" s="45"/>
      <c r="AP2" s="45"/>
      <c r="AQ2" s="45">
        <f>Kabel!E8</f>
        <v>100</v>
      </c>
      <c r="AR2" s="45"/>
      <c r="AS2" s="45"/>
      <c r="AT2" s="45"/>
      <c r="AU2" s="45">
        <f>Kabel!E24</f>
        <v>100</v>
      </c>
      <c r="AV2" s="45"/>
      <c r="AW2" s="45"/>
      <c r="AX2" s="45"/>
      <c r="AY2" s="45">
        <f>Kabel!E20</f>
        <v>210</v>
      </c>
      <c r="AZ2" s="55">
        <f>Kabel!E23</f>
        <v>50</v>
      </c>
    </row>
    <row r="3" spans="1:53" ht="24.95" customHeight="1" x14ac:dyDescent="0.25">
      <c r="A3" s="31" t="s">
        <v>1372</v>
      </c>
      <c r="C3" s="45">
        <f>Kabel!F7</f>
        <v>0</v>
      </c>
      <c r="D3" s="45"/>
      <c r="E3" s="45"/>
      <c r="F3" s="45"/>
      <c r="G3" s="45">
        <f>Kabel!F4</f>
        <v>350</v>
      </c>
      <c r="H3" s="45"/>
      <c r="I3" s="45"/>
      <c r="J3" s="45"/>
      <c r="K3" s="45">
        <f>Kabel!F5</f>
        <v>2000</v>
      </c>
      <c r="L3" s="45"/>
      <c r="M3" s="45"/>
      <c r="N3" s="45"/>
      <c r="O3" s="45">
        <f>Kabel!F17</f>
        <v>950</v>
      </c>
      <c r="P3" s="45"/>
      <c r="Q3" s="45"/>
      <c r="R3" s="45"/>
      <c r="S3" s="45">
        <f>Kabel!F6</f>
        <v>1500</v>
      </c>
      <c r="T3" s="45"/>
      <c r="U3" s="45"/>
      <c r="V3" s="45"/>
      <c r="W3" s="45">
        <f>Kabel!F18</f>
        <v>500</v>
      </c>
      <c r="X3" s="45"/>
      <c r="Y3" s="45"/>
      <c r="Z3" s="45"/>
      <c r="AA3" s="45">
        <f>Kabel!F9</f>
        <v>1000</v>
      </c>
      <c r="AB3" s="45"/>
      <c r="AC3" s="45"/>
      <c r="AD3" s="45"/>
      <c r="AE3" s="45">
        <f>Kabel!F13</f>
        <v>2000</v>
      </c>
      <c r="AF3" s="45"/>
      <c r="AG3" s="45"/>
      <c r="AH3" s="45"/>
      <c r="AI3" s="45">
        <f>Kabel!F10</f>
        <v>500</v>
      </c>
      <c r="AJ3" s="45"/>
      <c r="AK3" s="45"/>
      <c r="AL3" s="45"/>
      <c r="AM3" s="45">
        <f>Kabel!F11</f>
        <v>500</v>
      </c>
      <c r="AN3" s="45"/>
      <c r="AO3" s="45"/>
      <c r="AP3" s="45"/>
      <c r="AQ3" s="45">
        <f>Kabel!F8</f>
        <v>100</v>
      </c>
      <c r="AR3" s="45"/>
      <c r="AS3" s="45"/>
      <c r="AT3" s="45"/>
      <c r="AU3" s="45">
        <f>Kabel!F24</f>
        <v>100</v>
      </c>
      <c r="AV3" s="45"/>
      <c r="AW3" s="45"/>
      <c r="AX3" s="45"/>
      <c r="AY3" s="45"/>
      <c r="AZ3" s="55">
        <f>Kabel!F23</f>
        <v>50</v>
      </c>
    </row>
    <row r="4" spans="1:53" ht="24.95" customHeight="1" x14ac:dyDescent="0.25">
      <c r="A4" s="31" t="s">
        <v>1373</v>
      </c>
      <c r="C4" s="45">
        <f>SUM(C9+'TR.3 Kabel 1.OG Teil 1'!C9)</f>
        <v>0</v>
      </c>
      <c r="G4" s="45">
        <f>SUM(G9+'TR.3 Kabel 1.OG Teil 1'!G9)</f>
        <v>0</v>
      </c>
      <c r="H4" s="45"/>
      <c r="I4" s="45"/>
      <c r="J4" s="45"/>
      <c r="K4" s="45">
        <f>SUM(K9+'TR.3 Kabel 1.OG Teil 1'!K9)</f>
        <v>0</v>
      </c>
      <c r="L4" s="45"/>
      <c r="M4" s="45"/>
      <c r="N4" s="45"/>
      <c r="O4" s="45">
        <f>SUM(O9+'TR.3 Kabel 1.OG Teil 1'!O9)</f>
        <v>0</v>
      </c>
      <c r="P4" s="45"/>
      <c r="Q4" s="45"/>
      <c r="R4" s="45"/>
      <c r="S4" s="45">
        <f>SUM(S9+'TR.3 Kabel 1.OG Teil 1'!S9)</f>
        <v>0</v>
      </c>
      <c r="T4" s="45"/>
      <c r="U4" s="45"/>
      <c r="V4" s="45"/>
      <c r="W4" s="45">
        <f>SUM(W9+'TR.3 Kabel 1.OG Teil 1'!W9)</f>
        <v>0</v>
      </c>
      <c r="X4" s="45"/>
      <c r="Y4" s="45"/>
      <c r="Z4" s="45"/>
      <c r="AA4" s="45">
        <f>SUM(AA9+'TR.3 Kabel 1.OG Teil 1'!AA9)</f>
        <v>0</v>
      </c>
      <c r="AB4" s="45"/>
      <c r="AC4" s="45"/>
      <c r="AD4" s="45"/>
      <c r="AE4" s="45">
        <f>SUM(AE9+'TR.3 Kabel 1.OG Teil 1'!AE9)</f>
        <v>0</v>
      </c>
      <c r="AF4" s="45"/>
      <c r="AG4" s="45"/>
      <c r="AH4" s="45"/>
      <c r="AI4" s="45">
        <f>SUM(AI9+'TR.3 Kabel 1.OG Teil 1'!AI9)</f>
        <v>0</v>
      </c>
      <c r="AJ4" s="45"/>
      <c r="AK4" s="45"/>
      <c r="AL4" s="45"/>
      <c r="AM4" s="45">
        <f>SUM(AM9+'TR.3 Kabel 1.OG Teil 1'!AM9)</f>
        <v>0</v>
      </c>
      <c r="AN4" s="45"/>
      <c r="AO4" s="45"/>
      <c r="AP4" s="45"/>
      <c r="AQ4" s="45">
        <f>SUM(AQ9+'TR.3 Kabel 1.OG Teil 1'!AQ9)</f>
        <v>0</v>
      </c>
      <c r="AR4" s="45"/>
      <c r="AS4" s="45"/>
      <c r="AT4" s="45"/>
      <c r="AU4" s="45">
        <f>SUM(AU9+'TR.3 Kabel 1.OG Teil 1'!AU9)</f>
        <v>0</v>
      </c>
      <c r="AV4" s="45"/>
      <c r="AW4" s="45"/>
      <c r="AX4" s="45"/>
      <c r="AY4" s="45">
        <f>SUM(AY9+'TR.3 Kabel 1.OG Teil 1'!AY9)</f>
        <v>0</v>
      </c>
      <c r="AZ4" s="55">
        <f>SUM(AZ9+'TR.3 Kabel 1.OG Teil 1'!AZ9)</f>
        <v>0</v>
      </c>
    </row>
    <row r="5" spans="1:53" s="33" customFormat="1" ht="120" customHeight="1" x14ac:dyDescent="0.25">
      <c r="A5" s="34"/>
      <c r="B5" s="39" t="s">
        <v>127</v>
      </c>
      <c r="C5" s="48" t="s">
        <v>1324</v>
      </c>
      <c r="D5" s="39" t="s">
        <v>1337</v>
      </c>
      <c r="E5" s="39" t="s">
        <v>1362</v>
      </c>
      <c r="F5" s="39" t="s">
        <v>1338</v>
      </c>
      <c r="G5" s="48" t="s">
        <v>1321</v>
      </c>
      <c r="H5" s="39" t="s">
        <v>1339</v>
      </c>
      <c r="I5" s="39" t="s">
        <v>1363</v>
      </c>
      <c r="J5" s="39" t="s">
        <v>1340</v>
      </c>
      <c r="K5" s="48" t="s">
        <v>1322</v>
      </c>
      <c r="L5" s="39" t="s">
        <v>1531</v>
      </c>
      <c r="M5" s="39" t="s">
        <v>1532</v>
      </c>
      <c r="N5" s="39" t="s">
        <v>1533</v>
      </c>
      <c r="O5" s="48" t="s">
        <v>1522</v>
      </c>
      <c r="P5" s="39" t="s">
        <v>1341</v>
      </c>
      <c r="Q5" s="39" t="s">
        <v>1364</v>
      </c>
      <c r="R5" s="39" t="s">
        <v>1342</v>
      </c>
      <c r="S5" s="48" t="s">
        <v>1323</v>
      </c>
      <c r="T5" s="39" t="s">
        <v>1343</v>
      </c>
      <c r="U5" s="39" t="s">
        <v>1365</v>
      </c>
      <c r="V5" s="39" t="s">
        <v>1344</v>
      </c>
      <c r="W5" s="48" t="s">
        <v>1356</v>
      </c>
      <c r="X5" s="39" t="s">
        <v>1345</v>
      </c>
      <c r="Y5" s="39" t="s">
        <v>1366</v>
      </c>
      <c r="Z5" s="39" t="s">
        <v>1346</v>
      </c>
      <c r="AA5" s="48" t="s">
        <v>1357</v>
      </c>
      <c r="AB5" s="39" t="s">
        <v>1347</v>
      </c>
      <c r="AC5" s="39" t="s">
        <v>1367</v>
      </c>
      <c r="AD5" s="39" t="s">
        <v>1348</v>
      </c>
      <c r="AE5" s="48" t="s">
        <v>1358</v>
      </c>
      <c r="AF5" s="39" t="s">
        <v>1347</v>
      </c>
      <c r="AG5" s="39" t="s">
        <v>1367</v>
      </c>
      <c r="AH5" s="39" t="s">
        <v>1348</v>
      </c>
      <c r="AI5" s="48" t="s">
        <v>1536</v>
      </c>
      <c r="AJ5" s="39" t="s">
        <v>1352</v>
      </c>
      <c r="AK5" s="39" t="s">
        <v>1368</v>
      </c>
      <c r="AL5" s="39" t="s">
        <v>1353</v>
      </c>
      <c r="AM5" s="48" t="s">
        <v>1359</v>
      </c>
      <c r="AN5" s="39" t="s">
        <v>1349</v>
      </c>
      <c r="AO5" s="39" t="s">
        <v>1369</v>
      </c>
      <c r="AP5" s="39" t="s">
        <v>1350</v>
      </c>
      <c r="AQ5" s="48" t="s">
        <v>1360</v>
      </c>
      <c r="AR5" s="39" t="s">
        <v>1539</v>
      </c>
      <c r="AS5" s="39" t="s">
        <v>1540</v>
      </c>
      <c r="AT5" s="39" t="s">
        <v>1541</v>
      </c>
      <c r="AU5" s="48" t="s">
        <v>1545</v>
      </c>
      <c r="AV5" s="39" t="s">
        <v>1354</v>
      </c>
      <c r="AW5" s="39" t="s">
        <v>1370</v>
      </c>
      <c r="AX5" s="39" t="s">
        <v>1355</v>
      </c>
      <c r="AY5" s="48" t="s">
        <v>1361</v>
      </c>
      <c r="AZ5" s="39" t="s">
        <v>1530</v>
      </c>
      <c r="BA5" s="39" t="s">
        <v>1530</v>
      </c>
    </row>
    <row r="6" spans="1:53" s="1" customFormat="1" ht="60" customHeight="1" x14ac:dyDescent="0.25">
      <c r="A6" s="17"/>
      <c r="B6" s="32" t="s">
        <v>126</v>
      </c>
      <c r="C6" s="28"/>
      <c r="D6" s="32" t="s">
        <v>1127</v>
      </c>
      <c r="E6" s="32" t="s">
        <v>1129</v>
      </c>
      <c r="F6" s="32" t="s">
        <v>1133</v>
      </c>
      <c r="G6" s="28"/>
      <c r="H6" s="32" t="s">
        <v>1155</v>
      </c>
      <c r="I6" s="32" t="s">
        <v>1157</v>
      </c>
      <c r="J6" s="32" t="s">
        <v>1161</v>
      </c>
      <c r="K6" s="28"/>
      <c r="L6" s="32" t="s">
        <v>1234</v>
      </c>
      <c r="M6" s="32" t="s">
        <v>1236</v>
      </c>
      <c r="N6" s="32" t="s">
        <v>1238</v>
      </c>
      <c r="O6" s="28"/>
      <c r="P6" s="32" t="s">
        <v>1141</v>
      </c>
      <c r="Q6" s="32" t="s">
        <v>1143</v>
      </c>
      <c r="R6" s="32" t="s">
        <v>1147</v>
      </c>
      <c r="S6" s="28"/>
      <c r="T6" s="32" t="s">
        <v>1169</v>
      </c>
      <c r="U6" s="32" t="s">
        <v>1171</v>
      </c>
      <c r="V6" s="32" t="s">
        <v>1175</v>
      </c>
      <c r="W6" s="28"/>
      <c r="X6" s="32" t="s">
        <v>1019</v>
      </c>
      <c r="Y6" s="32" t="s">
        <v>1021</v>
      </c>
      <c r="Z6" s="32" t="s">
        <v>1025</v>
      </c>
      <c r="AA6" s="28"/>
      <c r="AB6" s="32" t="s">
        <v>963</v>
      </c>
      <c r="AC6" s="32" t="s">
        <v>965</v>
      </c>
      <c r="AD6" s="32" t="s">
        <v>969</v>
      </c>
      <c r="AE6" s="28"/>
      <c r="AF6" s="32" t="s">
        <v>963</v>
      </c>
      <c r="AG6" s="32" t="s">
        <v>965</v>
      </c>
      <c r="AH6" s="32" t="s">
        <v>969</v>
      </c>
      <c r="AI6" s="28"/>
      <c r="AJ6" s="32" t="s">
        <v>825</v>
      </c>
      <c r="AK6" s="32" t="s">
        <v>827</v>
      </c>
      <c r="AL6" s="32" t="s">
        <v>831</v>
      </c>
      <c r="AM6" s="28"/>
      <c r="AN6" s="32" t="s">
        <v>849</v>
      </c>
      <c r="AO6" s="32" t="s">
        <v>853</v>
      </c>
      <c r="AP6" s="32" t="s">
        <v>857</v>
      </c>
      <c r="AQ6" s="28"/>
      <c r="AR6" s="32" t="s">
        <v>885</v>
      </c>
      <c r="AS6" s="32" t="s">
        <v>887</v>
      </c>
      <c r="AT6" s="32" t="s">
        <v>891</v>
      </c>
      <c r="AU6" s="28"/>
      <c r="AV6" s="32" t="s">
        <v>901</v>
      </c>
      <c r="AW6" s="32" t="s">
        <v>903</v>
      </c>
      <c r="AX6" s="32" t="s">
        <v>907</v>
      </c>
      <c r="AY6" s="28"/>
      <c r="AZ6" s="32" t="s">
        <v>1535</v>
      </c>
      <c r="BA6" s="28"/>
    </row>
    <row r="7" spans="1:53" s="36" customFormat="1" ht="45" customHeight="1" x14ac:dyDescent="0.25">
      <c r="A7" s="35"/>
      <c r="B7" s="40">
        <v>11.67</v>
      </c>
      <c r="C7" s="41"/>
      <c r="D7" s="40">
        <v>3.72</v>
      </c>
      <c r="E7" s="40">
        <v>3.72</v>
      </c>
      <c r="F7" s="40">
        <v>3.72</v>
      </c>
      <c r="G7" s="41"/>
      <c r="H7" s="40">
        <v>4.17</v>
      </c>
      <c r="I7" s="40">
        <v>4.17</v>
      </c>
      <c r="J7" s="40">
        <v>4.17</v>
      </c>
      <c r="K7" s="41"/>
      <c r="L7" s="40">
        <v>5.75</v>
      </c>
      <c r="M7" s="40">
        <v>5.75</v>
      </c>
      <c r="N7" s="40">
        <v>5.75</v>
      </c>
      <c r="O7" s="41"/>
      <c r="P7" s="40">
        <v>4.1900000000000004</v>
      </c>
      <c r="Q7" s="40">
        <v>4.1900000000000004</v>
      </c>
      <c r="R7" s="40">
        <v>4.1900000000000004</v>
      </c>
      <c r="S7" s="41"/>
      <c r="T7" s="40">
        <v>5</v>
      </c>
      <c r="U7" s="40">
        <v>5</v>
      </c>
      <c r="V7" s="40">
        <v>5</v>
      </c>
      <c r="W7" s="41"/>
      <c r="X7" s="40">
        <v>3.1</v>
      </c>
      <c r="Y7" s="40">
        <v>3.1</v>
      </c>
      <c r="Z7" s="40">
        <v>3.55</v>
      </c>
      <c r="AA7" s="41"/>
      <c r="AB7" s="40">
        <v>3.2</v>
      </c>
      <c r="AC7" s="40">
        <v>3.2</v>
      </c>
      <c r="AD7" s="40">
        <v>3.2</v>
      </c>
      <c r="AE7" s="41"/>
      <c r="AF7" s="40">
        <v>4.4000000000000004</v>
      </c>
      <c r="AG7" s="40">
        <v>4.4000000000000004</v>
      </c>
      <c r="AH7" s="40">
        <v>4.4000000000000004</v>
      </c>
      <c r="AI7" s="41"/>
      <c r="AJ7" s="40">
        <v>3.78</v>
      </c>
      <c r="AK7" s="40">
        <v>3.78</v>
      </c>
      <c r="AL7" s="40">
        <v>3.99</v>
      </c>
      <c r="AM7" s="41"/>
      <c r="AN7" s="40">
        <v>3.39</v>
      </c>
      <c r="AO7" s="40">
        <v>3.39</v>
      </c>
      <c r="AP7" s="40">
        <v>3.59</v>
      </c>
      <c r="AQ7" s="41"/>
      <c r="AR7" s="40">
        <v>4.96</v>
      </c>
      <c r="AS7" s="40">
        <v>4.96</v>
      </c>
      <c r="AT7" s="40">
        <v>5.1100000000000003</v>
      </c>
      <c r="AU7" s="41"/>
      <c r="AV7" s="40">
        <v>6.66</v>
      </c>
      <c r="AW7" s="40">
        <v>6.66</v>
      </c>
      <c r="AX7" s="40">
        <v>11.6</v>
      </c>
      <c r="AY7" s="41"/>
      <c r="AZ7" s="40">
        <v>31.53</v>
      </c>
      <c r="BA7" s="56"/>
    </row>
    <row r="8" spans="1:53" s="12" customFormat="1" ht="20.25" customHeight="1" x14ac:dyDescent="0.25">
      <c r="A8" s="44">
        <f>SUM(B8:BB8)</f>
        <v>0</v>
      </c>
      <c r="B8" s="12">
        <f t="shared" ref="B8:H8" si="0">B9*B7</f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H8" s="12">
        <f t="shared" si="0"/>
        <v>0</v>
      </c>
      <c r="I8" s="12">
        <f>I9*I7</f>
        <v>0</v>
      </c>
      <c r="J8" s="12">
        <f t="shared" ref="J8:AX8" si="1">J9*J7</f>
        <v>0</v>
      </c>
      <c r="L8" s="12">
        <f t="shared" ref="L8" si="2">L9*L7</f>
        <v>0</v>
      </c>
      <c r="M8" s="12">
        <f>M9*M7</f>
        <v>0</v>
      </c>
      <c r="N8" s="12">
        <f t="shared" ref="N8" si="3">N9*N7</f>
        <v>0</v>
      </c>
      <c r="P8" s="12">
        <f t="shared" si="1"/>
        <v>0</v>
      </c>
      <c r="Q8" s="12">
        <f t="shared" si="1"/>
        <v>0</v>
      </c>
      <c r="R8" s="12">
        <f t="shared" si="1"/>
        <v>0</v>
      </c>
      <c r="T8" s="12">
        <f t="shared" si="1"/>
        <v>0</v>
      </c>
      <c r="U8" s="12">
        <f t="shared" si="1"/>
        <v>0</v>
      </c>
      <c r="V8" s="12">
        <f t="shared" si="1"/>
        <v>0</v>
      </c>
      <c r="X8" s="12">
        <f t="shared" si="1"/>
        <v>0</v>
      </c>
      <c r="Y8" s="12">
        <f t="shared" si="1"/>
        <v>0</v>
      </c>
      <c r="Z8" s="12">
        <f t="shared" si="1"/>
        <v>0</v>
      </c>
      <c r="AB8" s="12">
        <f t="shared" si="1"/>
        <v>0</v>
      </c>
      <c r="AC8" s="12">
        <f t="shared" si="1"/>
        <v>0</v>
      </c>
      <c r="AD8" s="12">
        <f t="shared" si="1"/>
        <v>0</v>
      </c>
      <c r="AF8" s="12">
        <f t="shared" ref="AF8:AH8" si="4">AF9*AF7</f>
        <v>0</v>
      </c>
      <c r="AG8" s="12">
        <f t="shared" si="4"/>
        <v>0</v>
      </c>
      <c r="AH8" s="12">
        <f t="shared" si="4"/>
        <v>0</v>
      </c>
      <c r="AJ8" s="12">
        <f t="shared" si="1"/>
        <v>0</v>
      </c>
      <c r="AK8" s="12">
        <f t="shared" si="1"/>
        <v>0</v>
      </c>
      <c r="AL8" s="12">
        <f t="shared" si="1"/>
        <v>0</v>
      </c>
      <c r="AN8" s="12">
        <f t="shared" si="1"/>
        <v>0</v>
      </c>
      <c r="AO8" s="12">
        <f t="shared" si="1"/>
        <v>0</v>
      </c>
      <c r="AP8" s="12">
        <f t="shared" si="1"/>
        <v>0</v>
      </c>
      <c r="AR8" s="12">
        <f t="shared" ref="AR8:AT8" si="5">AR9*AR7</f>
        <v>0</v>
      </c>
      <c r="AS8" s="12">
        <f t="shared" si="5"/>
        <v>0</v>
      </c>
      <c r="AT8" s="12">
        <f t="shared" si="5"/>
        <v>0</v>
      </c>
      <c r="AV8" s="12">
        <f t="shared" si="1"/>
        <v>0</v>
      </c>
      <c r="AW8" s="12">
        <f t="shared" si="1"/>
        <v>0</v>
      </c>
      <c r="AX8" s="12">
        <f t="shared" si="1"/>
        <v>0</v>
      </c>
      <c r="AZ8" s="12">
        <f t="shared" ref="AZ8" si="6">AZ9*AZ7</f>
        <v>0</v>
      </c>
    </row>
    <row r="9" spans="1:53" ht="15" customHeight="1" x14ac:dyDescent="0.25">
      <c r="B9" s="45">
        <f>SUM(B14:B176)</f>
        <v>0</v>
      </c>
      <c r="C9" s="46">
        <f>SUM(B9)</f>
        <v>0</v>
      </c>
      <c r="D9" s="46">
        <f>SUM(D14:D176)</f>
        <v>0</v>
      </c>
      <c r="E9" s="46">
        <f>SUM(E14:E176)</f>
        <v>0</v>
      </c>
      <c r="F9" s="46">
        <f>SUM(F14:F176)</f>
        <v>0</v>
      </c>
      <c r="G9" s="46">
        <f>SUM(D9:F9)</f>
        <v>0</v>
      </c>
      <c r="H9" s="46">
        <f>SUM(H14:H176)</f>
        <v>0</v>
      </c>
      <c r="I9" s="46">
        <f>SUM(I14:I176)</f>
        <v>0</v>
      </c>
      <c r="J9" s="46">
        <f>SUM(J14:J176)</f>
        <v>0</v>
      </c>
      <c r="K9" s="46">
        <f>SUM(H9:J9)</f>
        <v>0</v>
      </c>
      <c r="L9" s="46">
        <f>SUM(L14:L180)</f>
        <v>0</v>
      </c>
      <c r="M9" s="46">
        <f>SUM(M14:M180)</f>
        <v>0</v>
      </c>
      <c r="N9" s="46">
        <f>SUM(N14:N180)</f>
        <v>0</v>
      </c>
      <c r="O9" s="46">
        <f>SUM(L9:N9)</f>
        <v>0</v>
      </c>
      <c r="P9" s="46">
        <f>SUM(P14:P176)</f>
        <v>0</v>
      </c>
      <c r="Q9" s="46">
        <f>SUM(Q14:Q176)</f>
        <v>0</v>
      </c>
      <c r="R9" s="46">
        <f>SUM(R14:R176)</f>
        <v>0</v>
      </c>
      <c r="S9" s="46">
        <f>SUM(P9:R9)</f>
        <v>0</v>
      </c>
      <c r="T9" s="46">
        <f>SUM(T14:T176)</f>
        <v>0</v>
      </c>
      <c r="U9" s="46">
        <f>SUM(U14:U176)</f>
        <v>0</v>
      </c>
      <c r="V9" s="46">
        <f>SUM(V14:V176)</f>
        <v>0</v>
      </c>
      <c r="W9" s="46">
        <f>SUM(T9:V9)</f>
        <v>0</v>
      </c>
      <c r="X9" s="46">
        <f>SUM(X14:X176)</f>
        <v>0</v>
      </c>
      <c r="Y9" s="46">
        <f>SUM(Y14:Y176)</f>
        <v>0</v>
      </c>
      <c r="Z9" s="46">
        <f>SUM(Z14:Z176)</f>
        <v>0</v>
      </c>
      <c r="AA9" s="46">
        <f>SUM(X9:Z9)</f>
        <v>0</v>
      </c>
      <c r="AB9" s="46">
        <f>SUM(AB14:AB176)</f>
        <v>0</v>
      </c>
      <c r="AC9" s="46">
        <f>SUM(AC14:AC176)</f>
        <v>0</v>
      </c>
      <c r="AD9" s="46">
        <f>SUM(AD14:AD176)</f>
        <v>0</v>
      </c>
      <c r="AE9" s="46">
        <f>SUM(AB9:AD9)</f>
        <v>0</v>
      </c>
      <c r="AF9" s="46">
        <f>SUM(AF14:AF180)</f>
        <v>0</v>
      </c>
      <c r="AG9" s="46">
        <f>SUM(AG14:AG180)</f>
        <v>0</v>
      </c>
      <c r="AH9" s="46">
        <f>SUM(AH14:AH180)</f>
        <v>0</v>
      </c>
      <c r="AI9" s="46">
        <f>SUM(AF9:AH9)</f>
        <v>0</v>
      </c>
      <c r="AJ9" s="46">
        <f>SUM(AJ14:AJ176)</f>
        <v>0</v>
      </c>
      <c r="AK9" s="46">
        <f>SUM(AK14:AK176)</f>
        <v>0</v>
      </c>
      <c r="AL9" s="46">
        <f>SUM(AL14:AL176)</f>
        <v>0</v>
      </c>
      <c r="AM9" s="46">
        <f>SUM(AJ9:AL9)</f>
        <v>0</v>
      </c>
      <c r="AN9" s="46">
        <f>SUM(AN14:AN176)</f>
        <v>0</v>
      </c>
      <c r="AO9" s="46">
        <f>SUM(AO14:AO176)</f>
        <v>0</v>
      </c>
      <c r="AP9" s="46">
        <f>SUM(AP14:AP176)</f>
        <v>0</v>
      </c>
      <c r="AQ9" s="46">
        <f>SUM(AN9:AP9)</f>
        <v>0</v>
      </c>
      <c r="AR9" s="46">
        <f>SUM(AR14:AR180)</f>
        <v>0</v>
      </c>
      <c r="AS9" s="46">
        <f>SUM(AS14:AS180)</f>
        <v>0</v>
      </c>
      <c r="AT9" s="46">
        <f>SUM(AT14:AT180)</f>
        <v>0</v>
      </c>
      <c r="AU9" s="46">
        <f>SUM(AR9:AT9)</f>
        <v>0</v>
      </c>
      <c r="AV9" s="46">
        <f>SUM(AV14:AV176)</f>
        <v>0</v>
      </c>
      <c r="AW9" s="46">
        <f>SUM(AW14:AW176)</f>
        <v>0</v>
      </c>
      <c r="AX9" s="46">
        <f>SUM(AX14:AX176)</f>
        <v>0</v>
      </c>
      <c r="AY9" s="46">
        <f>SUM(AV9:AX9)</f>
        <v>0</v>
      </c>
      <c r="AZ9" s="55">
        <f>SUM(AZ14:AZ87)</f>
        <v>0</v>
      </c>
    </row>
    <row r="10" spans="1:53" ht="57" customHeight="1" x14ac:dyDescent="0.25">
      <c r="A10" s="29" t="s">
        <v>1534</v>
      </c>
    </row>
    <row r="12" spans="1:53" ht="15.75" x14ac:dyDescent="0.25">
      <c r="A12" s="30" t="s">
        <v>1351</v>
      </c>
    </row>
    <row r="13" spans="1:53" ht="15.75" thickBot="1" x14ac:dyDescent="0.3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</row>
    <row r="14" spans="1:53" s="62" customFormat="1" x14ac:dyDescent="0.25">
      <c r="A14" s="31"/>
      <c r="B14"/>
      <c r="C14" s="49"/>
      <c r="D14"/>
      <c r="E14"/>
      <c r="F14"/>
      <c r="G14" s="49"/>
      <c r="H14"/>
      <c r="I14"/>
      <c r="J14"/>
      <c r="K14" s="49"/>
      <c r="L14"/>
      <c r="M14"/>
      <c r="N14"/>
      <c r="O14" s="49"/>
      <c r="P14"/>
      <c r="Q14"/>
      <c r="R14"/>
      <c r="S14" s="49"/>
      <c r="T14"/>
      <c r="U14"/>
      <c r="V14"/>
      <c r="W14" s="49"/>
      <c r="X14"/>
      <c r="Y14"/>
      <c r="Z14"/>
      <c r="AA14" s="49"/>
      <c r="AB14"/>
      <c r="AC14"/>
      <c r="AD14"/>
      <c r="AE14" s="49"/>
      <c r="AF14"/>
      <c r="AG14"/>
      <c r="AH14"/>
      <c r="AI14" s="49"/>
      <c r="AJ14"/>
      <c r="AK14"/>
      <c r="AL14"/>
      <c r="AM14" s="49"/>
      <c r="AN14"/>
      <c r="AO14"/>
      <c r="AP14"/>
      <c r="AQ14" s="49"/>
      <c r="AR14"/>
      <c r="AS14"/>
      <c r="AT14"/>
      <c r="AU14" s="49"/>
      <c r="AV14"/>
      <c r="AW14"/>
      <c r="AX14"/>
      <c r="AY14" s="49"/>
      <c r="AZ14"/>
      <c r="BA14"/>
    </row>
    <row r="15" spans="1:53" s="62" customFormat="1" x14ac:dyDescent="0.25">
      <c r="A15" s="38"/>
      <c r="B15" s="25"/>
      <c r="C15" s="49"/>
      <c r="D15" s="25"/>
      <c r="E15" s="25"/>
      <c r="F15" s="25"/>
      <c r="G15" s="49"/>
      <c r="H15" s="25"/>
      <c r="I15" s="25"/>
      <c r="J15" s="25"/>
      <c r="K15" s="49"/>
      <c r="L15" s="25"/>
      <c r="M15" s="25"/>
      <c r="N15" s="25"/>
      <c r="O15" s="49"/>
      <c r="P15" s="25"/>
      <c r="Q15" s="25"/>
      <c r="R15" s="25"/>
      <c r="S15" s="49"/>
      <c r="T15" s="25"/>
      <c r="U15" s="25"/>
      <c r="V15" s="25"/>
      <c r="W15" s="49"/>
      <c r="X15" s="25"/>
      <c r="Y15" s="25"/>
      <c r="Z15" s="25"/>
      <c r="AA15" s="49"/>
      <c r="AB15" s="25"/>
      <c r="AC15" s="25"/>
      <c r="AD15" s="25"/>
      <c r="AE15" s="49"/>
      <c r="AF15" s="25"/>
      <c r="AG15" s="25"/>
      <c r="AH15" s="25"/>
      <c r="AI15" s="49"/>
      <c r="AJ15" s="25"/>
      <c r="AK15" s="25"/>
      <c r="AL15" s="25"/>
      <c r="AM15" s="49"/>
      <c r="AN15" s="25"/>
      <c r="AO15" s="25"/>
      <c r="AP15" s="25"/>
      <c r="AQ15" s="49"/>
      <c r="AR15" s="25"/>
      <c r="AS15" s="25"/>
      <c r="AT15" s="25"/>
      <c r="AU15" s="49"/>
      <c r="AV15" s="25"/>
      <c r="AW15" s="25"/>
      <c r="AX15" s="25"/>
      <c r="AY15" s="49"/>
      <c r="AZ15" s="25"/>
      <c r="BA15" s="25"/>
    </row>
    <row r="16" spans="1:53" s="62" customFormat="1" x14ac:dyDescent="0.25">
      <c r="A16" s="31"/>
      <c r="B16"/>
      <c r="C16" s="49"/>
      <c r="D16"/>
      <c r="E16"/>
      <c r="F16"/>
      <c r="G16" s="49"/>
      <c r="H16"/>
      <c r="I16"/>
      <c r="J16"/>
      <c r="K16" s="49"/>
      <c r="L16"/>
      <c r="M16"/>
      <c r="N16"/>
      <c r="O16" s="49"/>
      <c r="P16"/>
      <c r="Q16"/>
      <c r="R16"/>
      <c r="S16" s="49"/>
      <c r="T16"/>
      <c r="U16"/>
      <c r="V16"/>
      <c r="W16" s="49"/>
      <c r="X16"/>
      <c r="Y16"/>
      <c r="Z16"/>
      <c r="AA16" s="49"/>
      <c r="AB16"/>
      <c r="AC16"/>
      <c r="AD16"/>
      <c r="AE16" s="49"/>
      <c r="AF16"/>
      <c r="AG16"/>
      <c r="AH16"/>
      <c r="AI16" s="49"/>
      <c r="AJ16"/>
      <c r="AK16"/>
      <c r="AL16"/>
      <c r="AM16" s="49"/>
      <c r="AN16"/>
      <c r="AO16"/>
      <c r="AP16"/>
      <c r="AQ16" s="49"/>
      <c r="AR16"/>
      <c r="AS16"/>
      <c r="AT16"/>
      <c r="AU16" s="49"/>
      <c r="AV16"/>
      <c r="AW16"/>
      <c r="AX16"/>
      <c r="AY16" s="49"/>
      <c r="AZ16"/>
      <c r="BA16"/>
    </row>
    <row r="17" spans="1:53" s="62" customFormat="1" x14ac:dyDescent="0.25">
      <c r="A17" s="38"/>
      <c r="B17" s="25"/>
      <c r="C17" s="49"/>
      <c r="D17" s="25"/>
      <c r="E17" s="25"/>
      <c r="F17" s="25"/>
      <c r="G17" s="49"/>
      <c r="H17" s="25"/>
      <c r="I17" s="25"/>
      <c r="J17" s="25"/>
      <c r="K17" s="49"/>
      <c r="L17" s="25"/>
      <c r="M17" s="25"/>
      <c r="N17" s="25"/>
      <c r="O17" s="49"/>
      <c r="P17" s="25"/>
      <c r="Q17" s="25"/>
      <c r="R17" s="25"/>
      <c r="S17" s="49"/>
      <c r="T17" s="25"/>
      <c r="U17" s="25"/>
      <c r="V17" s="25"/>
      <c r="W17" s="49"/>
      <c r="X17" s="25"/>
      <c r="Y17" s="25"/>
      <c r="Z17" s="25"/>
      <c r="AA17" s="49"/>
      <c r="AB17" s="25"/>
      <c r="AC17" s="25"/>
      <c r="AD17" s="25"/>
      <c r="AE17" s="49"/>
      <c r="AF17" s="25"/>
      <c r="AG17" s="25"/>
      <c r="AH17" s="25"/>
      <c r="AI17" s="49"/>
      <c r="AJ17" s="25"/>
      <c r="AK17" s="25"/>
      <c r="AL17" s="25"/>
      <c r="AM17" s="49"/>
      <c r="AN17" s="25"/>
      <c r="AO17" s="25"/>
      <c r="AP17" s="25"/>
      <c r="AQ17" s="49"/>
      <c r="AR17" s="25"/>
      <c r="AS17" s="25"/>
      <c r="AT17" s="25"/>
      <c r="AU17" s="49"/>
      <c r="AV17" s="25"/>
      <c r="AW17" s="25"/>
      <c r="AX17" s="25"/>
      <c r="AY17" s="49"/>
      <c r="AZ17" s="25"/>
      <c r="BA17" s="25"/>
    </row>
    <row r="18" spans="1:53" s="62" customFormat="1" x14ac:dyDescent="0.25">
      <c r="A18" s="31"/>
      <c r="B18"/>
      <c r="C18" s="49"/>
      <c r="D18"/>
      <c r="E18"/>
      <c r="F18"/>
      <c r="G18" s="49"/>
      <c r="H18"/>
      <c r="I18"/>
      <c r="J18"/>
      <c r="K18" s="49"/>
      <c r="L18"/>
      <c r="M18"/>
      <c r="N18"/>
      <c r="O18" s="49"/>
      <c r="P18"/>
      <c r="Q18"/>
      <c r="R18"/>
      <c r="S18" s="49"/>
      <c r="T18"/>
      <c r="U18"/>
      <c r="V18"/>
      <c r="W18" s="49"/>
      <c r="X18"/>
      <c r="Y18"/>
      <c r="Z18"/>
      <c r="AA18" s="49"/>
      <c r="AB18"/>
      <c r="AC18"/>
      <c r="AD18"/>
      <c r="AE18" s="49"/>
      <c r="AF18"/>
      <c r="AG18"/>
      <c r="AH18"/>
      <c r="AI18" s="49"/>
      <c r="AJ18"/>
      <c r="AK18"/>
      <c r="AL18"/>
      <c r="AM18" s="49"/>
      <c r="AN18"/>
      <c r="AO18"/>
      <c r="AP18"/>
      <c r="AQ18" s="49"/>
      <c r="AR18"/>
      <c r="AS18"/>
      <c r="AT18"/>
      <c r="AU18" s="49"/>
      <c r="AV18"/>
      <c r="AW18"/>
      <c r="AX18"/>
      <c r="AY18" s="49"/>
      <c r="AZ18"/>
      <c r="BA18"/>
    </row>
    <row r="19" spans="1:53" s="62" customFormat="1" x14ac:dyDescent="0.25">
      <c r="A19" s="38"/>
      <c r="B19" s="25"/>
      <c r="C19" s="49"/>
      <c r="D19" s="25"/>
      <c r="E19" s="25"/>
      <c r="F19" s="25"/>
      <c r="G19" s="49"/>
      <c r="H19" s="25"/>
      <c r="I19" s="25"/>
      <c r="J19" s="25"/>
      <c r="K19" s="49"/>
      <c r="L19" s="25"/>
      <c r="M19" s="25"/>
      <c r="N19" s="25"/>
      <c r="O19" s="49"/>
      <c r="P19" s="25"/>
      <c r="Q19" s="25"/>
      <c r="R19" s="25"/>
      <c r="S19" s="49"/>
      <c r="T19" s="25"/>
      <c r="U19" s="25"/>
      <c r="V19" s="25"/>
      <c r="W19" s="49"/>
      <c r="X19" s="25"/>
      <c r="Y19" s="25"/>
      <c r="Z19" s="25"/>
      <c r="AA19" s="49"/>
      <c r="AB19" s="25"/>
      <c r="AC19" s="25"/>
      <c r="AD19" s="25"/>
      <c r="AE19" s="49"/>
      <c r="AF19" s="25"/>
      <c r="AG19" s="25"/>
      <c r="AH19" s="25"/>
      <c r="AI19" s="49"/>
      <c r="AJ19" s="25"/>
      <c r="AK19" s="25"/>
      <c r="AL19" s="25"/>
      <c r="AM19" s="49"/>
      <c r="AN19" s="25"/>
      <c r="AO19" s="25"/>
      <c r="AP19" s="25"/>
      <c r="AQ19" s="49"/>
      <c r="AR19" s="25"/>
      <c r="AS19" s="25"/>
      <c r="AT19" s="25"/>
      <c r="AU19" s="49"/>
      <c r="AV19" s="25"/>
      <c r="AW19" s="25"/>
      <c r="AX19" s="25"/>
      <c r="AY19" s="49"/>
      <c r="AZ19" s="25"/>
      <c r="BA19" s="25"/>
    </row>
    <row r="20" spans="1:53" s="62" customFormat="1" x14ac:dyDescent="0.25">
      <c r="A20" s="31"/>
      <c r="B20"/>
      <c r="C20" s="49"/>
      <c r="D20"/>
      <c r="E20"/>
      <c r="F20"/>
      <c r="G20" s="49"/>
      <c r="H20"/>
      <c r="I20"/>
      <c r="J20"/>
      <c r="K20" s="49"/>
      <c r="L20"/>
      <c r="M20"/>
      <c r="N20"/>
      <c r="O20" s="49"/>
      <c r="P20"/>
      <c r="Q20"/>
      <c r="R20"/>
      <c r="S20" s="49"/>
      <c r="T20"/>
      <c r="U20"/>
      <c r="V20"/>
      <c r="W20" s="49"/>
      <c r="X20"/>
      <c r="Y20"/>
      <c r="Z20"/>
      <c r="AA20" s="49"/>
      <c r="AB20"/>
      <c r="AC20"/>
      <c r="AD20"/>
      <c r="AE20" s="49"/>
      <c r="AF20"/>
      <c r="AG20"/>
      <c r="AH20"/>
      <c r="AI20" s="49"/>
      <c r="AJ20"/>
      <c r="AK20"/>
      <c r="AL20"/>
      <c r="AM20" s="49"/>
      <c r="AN20"/>
      <c r="AO20"/>
      <c r="AP20"/>
      <c r="AQ20" s="49"/>
      <c r="AR20"/>
      <c r="AS20"/>
      <c r="AT20"/>
      <c r="AU20" s="49"/>
      <c r="AV20"/>
      <c r="AW20"/>
      <c r="AX20"/>
      <c r="AY20" s="49"/>
      <c r="AZ20"/>
      <c r="BA20"/>
    </row>
    <row r="21" spans="1:53" s="62" customFormat="1" x14ac:dyDescent="0.25">
      <c r="A21" s="38"/>
      <c r="B21" s="25"/>
      <c r="C21" s="49"/>
      <c r="D21" s="25"/>
      <c r="E21" s="25"/>
      <c r="F21" s="25"/>
      <c r="G21" s="49"/>
      <c r="H21" s="25"/>
      <c r="I21" s="25"/>
      <c r="J21" s="25"/>
      <c r="K21" s="49"/>
      <c r="L21" s="25"/>
      <c r="M21" s="25"/>
      <c r="N21" s="25"/>
      <c r="O21" s="49"/>
      <c r="P21" s="25"/>
      <c r="Q21" s="25"/>
      <c r="R21" s="25"/>
      <c r="S21" s="49"/>
      <c r="T21" s="25"/>
      <c r="U21" s="25"/>
      <c r="V21" s="25"/>
      <c r="W21" s="49"/>
      <c r="X21" s="25"/>
      <c r="Y21" s="25"/>
      <c r="Z21" s="25"/>
      <c r="AA21" s="49"/>
      <c r="AB21" s="25"/>
      <c r="AC21" s="25"/>
      <c r="AD21" s="25"/>
      <c r="AE21" s="49"/>
      <c r="AF21" s="25"/>
      <c r="AG21" s="25"/>
      <c r="AH21" s="25"/>
      <c r="AI21" s="49"/>
      <c r="AJ21" s="25"/>
      <c r="AK21" s="25"/>
      <c r="AL21" s="25"/>
      <c r="AM21" s="49"/>
      <c r="AN21" s="25"/>
      <c r="AO21" s="25"/>
      <c r="AP21" s="25"/>
      <c r="AQ21" s="49"/>
      <c r="AR21" s="25"/>
      <c r="AS21" s="25"/>
      <c r="AT21" s="25"/>
      <c r="AU21" s="49"/>
      <c r="AV21" s="25"/>
      <c r="AW21" s="25"/>
      <c r="AX21" s="25"/>
      <c r="AY21" s="49"/>
      <c r="AZ21" s="25"/>
      <c r="BA21" s="25"/>
    </row>
    <row r="22" spans="1:53" s="62" customFormat="1" x14ac:dyDescent="0.25">
      <c r="A22" s="31"/>
      <c r="B22"/>
      <c r="C22" s="49"/>
      <c r="D22"/>
      <c r="E22"/>
      <c r="F22"/>
      <c r="G22" s="49"/>
      <c r="H22"/>
      <c r="I22"/>
      <c r="J22"/>
      <c r="K22" s="49"/>
      <c r="L22"/>
      <c r="M22"/>
      <c r="N22"/>
      <c r="O22" s="49"/>
      <c r="P22"/>
      <c r="Q22"/>
      <c r="R22"/>
      <c r="S22" s="49"/>
      <c r="T22"/>
      <c r="U22"/>
      <c r="V22"/>
      <c r="W22" s="49"/>
      <c r="X22"/>
      <c r="Y22"/>
      <c r="Z22"/>
      <c r="AA22" s="49"/>
      <c r="AB22"/>
      <c r="AC22"/>
      <c r="AD22"/>
      <c r="AE22" s="49"/>
      <c r="AF22"/>
      <c r="AG22"/>
      <c r="AH22"/>
      <c r="AI22" s="49"/>
      <c r="AJ22"/>
      <c r="AK22"/>
      <c r="AL22"/>
      <c r="AM22" s="49"/>
      <c r="AN22"/>
      <c r="AO22"/>
      <c r="AP22"/>
      <c r="AQ22" s="49"/>
      <c r="AR22"/>
      <c r="AS22"/>
      <c r="AT22"/>
      <c r="AU22" s="49"/>
      <c r="AV22"/>
      <c r="AW22"/>
      <c r="AX22"/>
      <c r="AY22" s="49"/>
      <c r="AZ22"/>
      <c r="BA22"/>
    </row>
    <row r="23" spans="1:53" s="62" customFormat="1" x14ac:dyDescent="0.25">
      <c r="A23" s="38"/>
      <c r="B23" s="25"/>
      <c r="C23" s="49"/>
      <c r="D23" s="25"/>
      <c r="E23" s="25"/>
      <c r="F23" s="25"/>
      <c r="G23" s="49"/>
      <c r="H23" s="25"/>
      <c r="I23" s="25"/>
      <c r="J23" s="25"/>
      <c r="K23" s="49"/>
      <c r="L23" s="25"/>
      <c r="M23" s="25"/>
      <c r="N23" s="25"/>
      <c r="O23" s="49"/>
      <c r="P23" s="25"/>
      <c r="Q23" s="25"/>
      <c r="R23" s="25"/>
      <c r="S23" s="49"/>
      <c r="T23" s="25"/>
      <c r="U23" s="25"/>
      <c r="V23" s="25"/>
      <c r="W23" s="49"/>
      <c r="X23" s="25"/>
      <c r="Y23" s="25"/>
      <c r="Z23" s="25"/>
      <c r="AA23" s="49"/>
      <c r="AB23" s="25"/>
      <c r="AC23" s="25"/>
      <c r="AD23" s="25"/>
      <c r="AE23" s="49"/>
      <c r="AF23" s="25"/>
      <c r="AG23" s="25"/>
      <c r="AH23" s="25"/>
      <c r="AI23" s="49"/>
      <c r="AJ23" s="25"/>
      <c r="AK23" s="25"/>
      <c r="AL23" s="25"/>
      <c r="AM23" s="49"/>
      <c r="AN23" s="25"/>
      <c r="AO23" s="25"/>
      <c r="AP23" s="25"/>
      <c r="AQ23" s="49"/>
      <c r="AR23" s="25"/>
      <c r="AS23" s="25"/>
      <c r="AT23" s="25"/>
      <c r="AU23" s="49"/>
      <c r="AV23" s="25"/>
      <c r="AW23" s="25"/>
      <c r="AX23" s="25"/>
      <c r="AY23" s="49"/>
      <c r="AZ23" s="25"/>
      <c r="BA23" s="25"/>
    </row>
    <row r="24" spans="1:53" s="62" customFormat="1" x14ac:dyDescent="0.25">
      <c r="A24" s="31"/>
      <c r="B24"/>
      <c r="C24" s="49"/>
      <c r="D24"/>
      <c r="E24"/>
      <c r="F24"/>
      <c r="G24" s="49"/>
      <c r="H24"/>
      <c r="I24"/>
      <c r="J24"/>
      <c r="K24" s="49"/>
      <c r="L24"/>
      <c r="M24"/>
      <c r="N24"/>
      <c r="O24" s="49"/>
      <c r="P24"/>
      <c r="Q24"/>
      <c r="R24"/>
      <c r="S24" s="49"/>
      <c r="T24"/>
      <c r="U24"/>
      <c r="V24"/>
      <c r="W24" s="49"/>
      <c r="X24"/>
      <c r="Y24"/>
      <c r="Z24"/>
      <c r="AA24" s="49"/>
      <c r="AB24"/>
      <c r="AC24"/>
      <c r="AD24"/>
      <c r="AE24" s="49"/>
      <c r="AF24"/>
      <c r="AG24"/>
      <c r="AH24"/>
      <c r="AI24" s="49"/>
      <c r="AJ24"/>
      <c r="AK24"/>
      <c r="AL24"/>
      <c r="AM24" s="49"/>
      <c r="AN24"/>
      <c r="AO24"/>
      <c r="AP24"/>
      <c r="AQ24" s="49"/>
      <c r="AR24"/>
      <c r="AS24"/>
      <c r="AT24"/>
      <c r="AU24" s="49"/>
      <c r="AV24"/>
      <c r="AW24"/>
      <c r="AX24"/>
      <c r="AY24" s="49"/>
      <c r="AZ24"/>
      <c r="BA24"/>
    </row>
    <row r="25" spans="1:53" s="62" customFormat="1" x14ac:dyDescent="0.25">
      <c r="A25" s="38"/>
      <c r="B25" s="25"/>
      <c r="C25" s="49"/>
      <c r="D25" s="25"/>
      <c r="E25" s="25"/>
      <c r="F25" s="25"/>
      <c r="G25" s="49"/>
      <c r="H25" s="25"/>
      <c r="I25" s="25"/>
      <c r="J25" s="25"/>
      <c r="K25" s="49"/>
      <c r="L25" s="25"/>
      <c r="M25" s="25"/>
      <c r="N25" s="25"/>
      <c r="O25" s="49"/>
      <c r="P25" s="25"/>
      <c r="Q25" s="25"/>
      <c r="R25" s="25"/>
      <c r="S25" s="49"/>
      <c r="T25" s="25"/>
      <c r="U25" s="25"/>
      <c r="V25" s="25"/>
      <c r="W25" s="49"/>
      <c r="X25" s="25"/>
      <c r="Y25" s="25"/>
      <c r="Z25" s="25"/>
      <c r="AA25" s="49"/>
      <c r="AB25" s="25"/>
      <c r="AC25" s="25"/>
      <c r="AD25" s="25"/>
      <c r="AE25" s="49"/>
      <c r="AF25" s="25"/>
      <c r="AG25" s="25"/>
      <c r="AH25" s="25"/>
      <c r="AI25" s="49"/>
      <c r="AJ25" s="25"/>
      <c r="AK25" s="25"/>
      <c r="AL25" s="25"/>
      <c r="AM25" s="49"/>
      <c r="AN25" s="25"/>
      <c r="AO25" s="25"/>
      <c r="AP25" s="25"/>
      <c r="AQ25" s="49"/>
      <c r="AR25" s="25"/>
      <c r="AS25" s="25"/>
      <c r="AT25" s="25"/>
      <c r="AU25" s="49"/>
      <c r="AV25" s="25"/>
      <c r="AW25" s="25"/>
      <c r="AX25" s="25"/>
      <c r="AY25" s="49"/>
      <c r="AZ25" s="25"/>
      <c r="BA25" s="25"/>
    </row>
    <row r="26" spans="1:53" s="62" customFormat="1" x14ac:dyDescent="0.25">
      <c r="A26" s="31"/>
      <c r="B26"/>
      <c r="C26" s="49"/>
      <c r="D26"/>
      <c r="E26"/>
      <c r="F26"/>
      <c r="G26" s="49"/>
      <c r="H26"/>
      <c r="I26"/>
      <c r="J26"/>
      <c r="K26" s="49"/>
      <c r="L26"/>
      <c r="M26"/>
      <c r="N26"/>
      <c r="O26" s="49"/>
      <c r="P26"/>
      <c r="Q26"/>
      <c r="R26"/>
      <c r="S26" s="49"/>
      <c r="T26"/>
      <c r="U26"/>
      <c r="V26"/>
      <c r="W26" s="49"/>
      <c r="X26"/>
      <c r="Y26"/>
      <c r="Z26"/>
      <c r="AA26" s="49"/>
      <c r="AB26"/>
      <c r="AC26"/>
      <c r="AD26"/>
      <c r="AE26" s="49"/>
      <c r="AF26"/>
      <c r="AG26"/>
      <c r="AH26"/>
      <c r="AI26" s="49"/>
      <c r="AJ26"/>
      <c r="AK26"/>
      <c r="AL26"/>
      <c r="AM26" s="49"/>
      <c r="AN26"/>
      <c r="AO26"/>
      <c r="AP26"/>
      <c r="AQ26" s="49"/>
      <c r="AR26"/>
      <c r="AS26"/>
      <c r="AT26"/>
      <c r="AU26" s="49"/>
      <c r="AV26"/>
      <c r="AW26"/>
      <c r="AX26"/>
      <c r="AY26" s="49"/>
      <c r="AZ26"/>
      <c r="BA26"/>
    </row>
    <row r="27" spans="1:53" s="62" customFormat="1" x14ac:dyDescent="0.25">
      <c r="A27" s="38"/>
      <c r="B27" s="25"/>
      <c r="C27" s="49"/>
      <c r="D27" s="25"/>
      <c r="E27" s="25"/>
      <c r="F27" s="25"/>
      <c r="G27" s="49"/>
      <c r="H27" s="25"/>
      <c r="I27" s="25"/>
      <c r="J27" s="25"/>
      <c r="K27" s="49"/>
      <c r="L27" s="25"/>
      <c r="M27" s="25"/>
      <c r="N27" s="25"/>
      <c r="O27" s="49"/>
      <c r="P27" s="25"/>
      <c r="Q27" s="25"/>
      <c r="R27" s="25"/>
      <c r="S27" s="49"/>
      <c r="T27" s="25"/>
      <c r="U27" s="25"/>
      <c r="V27" s="25"/>
      <c r="W27" s="49"/>
      <c r="X27" s="25"/>
      <c r="Y27" s="25"/>
      <c r="Z27" s="25"/>
      <c r="AA27" s="49"/>
      <c r="AB27" s="25"/>
      <c r="AC27" s="25"/>
      <c r="AD27" s="25"/>
      <c r="AE27" s="49"/>
      <c r="AF27" s="25"/>
      <c r="AG27" s="25"/>
      <c r="AH27" s="25"/>
      <c r="AI27" s="49"/>
      <c r="AJ27" s="25"/>
      <c r="AK27" s="25"/>
      <c r="AL27" s="25"/>
      <c r="AM27" s="49"/>
      <c r="AN27" s="25"/>
      <c r="AO27" s="25"/>
      <c r="AP27" s="25"/>
      <c r="AQ27" s="49"/>
      <c r="AR27" s="25"/>
      <c r="AS27" s="25"/>
      <c r="AT27" s="25"/>
      <c r="AU27" s="49"/>
      <c r="AV27" s="25"/>
      <c r="AW27" s="25"/>
      <c r="AX27" s="25"/>
      <c r="AY27" s="49"/>
      <c r="AZ27" s="25"/>
      <c r="BA27" s="25"/>
    </row>
    <row r="28" spans="1:53" s="62" customFormat="1" x14ac:dyDescent="0.25">
      <c r="A28" s="31"/>
      <c r="B28"/>
      <c r="C28" s="49"/>
      <c r="D28"/>
      <c r="E28"/>
      <c r="F28"/>
      <c r="G28" s="49"/>
      <c r="H28"/>
      <c r="I28"/>
      <c r="J28"/>
      <c r="K28" s="49"/>
      <c r="L28"/>
      <c r="M28"/>
      <c r="N28"/>
      <c r="O28" s="49"/>
      <c r="P28"/>
      <c r="Q28"/>
      <c r="R28"/>
      <c r="S28" s="49"/>
      <c r="T28"/>
      <c r="U28"/>
      <c r="V28"/>
      <c r="W28" s="49"/>
      <c r="X28"/>
      <c r="Y28"/>
      <c r="Z28"/>
      <c r="AA28" s="49"/>
      <c r="AB28"/>
      <c r="AC28"/>
      <c r="AD28"/>
      <c r="AE28" s="49"/>
      <c r="AF28"/>
      <c r="AG28"/>
      <c r="AH28"/>
      <c r="AI28" s="49"/>
      <c r="AJ28"/>
      <c r="AK28"/>
      <c r="AL28"/>
      <c r="AM28" s="49"/>
      <c r="AN28"/>
      <c r="AO28"/>
      <c r="AP28"/>
      <c r="AQ28" s="49"/>
      <c r="AR28"/>
      <c r="AS28"/>
      <c r="AT28"/>
      <c r="AU28" s="49"/>
      <c r="AV28"/>
      <c r="AW28"/>
      <c r="AX28"/>
      <c r="AY28" s="49"/>
      <c r="AZ28"/>
      <c r="BA28"/>
    </row>
    <row r="29" spans="1:53" s="62" customFormat="1" x14ac:dyDescent="0.25">
      <c r="A29" s="38"/>
      <c r="B29" s="25"/>
      <c r="C29" s="49"/>
      <c r="D29" s="25"/>
      <c r="E29" s="25"/>
      <c r="F29" s="25"/>
      <c r="G29" s="49"/>
      <c r="H29" s="25"/>
      <c r="I29" s="25"/>
      <c r="J29" s="25"/>
      <c r="K29" s="49"/>
      <c r="L29" s="25"/>
      <c r="M29" s="25"/>
      <c r="N29" s="25"/>
      <c r="O29" s="49"/>
      <c r="P29" s="25"/>
      <c r="Q29" s="25"/>
      <c r="R29" s="25"/>
      <c r="S29" s="49"/>
      <c r="T29" s="25"/>
      <c r="U29" s="25"/>
      <c r="V29" s="25"/>
      <c r="W29" s="49"/>
      <c r="X29" s="25"/>
      <c r="Y29" s="25"/>
      <c r="Z29" s="25"/>
      <c r="AA29" s="49"/>
      <c r="AB29" s="25"/>
      <c r="AC29" s="25"/>
      <c r="AD29" s="25"/>
      <c r="AE29" s="49"/>
      <c r="AF29" s="25"/>
      <c r="AG29" s="25"/>
      <c r="AH29" s="25"/>
      <c r="AI29" s="49"/>
      <c r="AJ29" s="25"/>
      <c r="AK29" s="25"/>
      <c r="AL29" s="25"/>
      <c r="AM29" s="49"/>
      <c r="AN29" s="25"/>
      <c r="AO29" s="25"/>
      <c r="AP29" s="25"/>
      <c r="AQ29" s="49"/>
      <c r="AR29" s="25"/>
      <c r="AS29" s="25"/>
      <c r="AT29" s="25"/>
      <c r="AU29" s="49"/>
      <c r="AV29" s="25"/>
      <c r="AW29" s="25"/>
      <c r="AX29" s="25"/>
      <c r="AY29" s="49"/>
      <c r="AZ29" s="25"/>
      <c r="BA29" s="25"/>
    </row>
    <row r="30" spans="1:53" s="62" customFormat="1" x14ac:dyDescent="0.25">
      <c r="A30" s="31"/>
      <c r="B30" s="61"/>
      <c r="C30" s="49"/>
      <c r="D30" s="61"/>
      <c r="E30" s="61"/>
      <c r="F30" s="61"/>
      <c r="G30" s="49"/>
      <c r="H30" s="61"/>
      <c r="I30" s="61"/>
      <c r="J30" s="61"/>
      <c r="K30" s="49"/>
      <c r="L30" s="61"/>
      <c r="M30" s="61"/>
      <c r="N30" s="61"/>
      <c r="O30" s="49"/>
      <c r="P30" s="61"/>
      <c r="Q30" s="61"/>
      <c r="R30" s="61"/>
      <c r="S30" s="49"/>
      <c r="T30" s="61"/>
      <c r="U30" s="61"/>
      <c r="V30" s="61"/>
      <c r="W30" s="49"/>
      <c r="X30" s="61"/>
      <c r="Y30" s="61"/>
      <c r="Z30" s="61"/>
      <c r="AA30" s="49"/>
      <c r="AB30" s="61"/>
      <c r="AC30" s="61"/>
      <c r="AD30" s="61"/>
      <c r="AE30" s="49"/>
      <c r="AF30" s="61"/>
      <c r="AG30" s="61"/>
      <c r="AH30" s="61"/>
      <c r="AI30" s="49"/>
      <c r="AJ30" s="61"/>
      <c r="AK30" s="61"/>
      <c r="AL30" s="61"/>
      <c r="AM30" s="49"/>
      <c r="AN30" s="61"/>
      <c r="AO30" s="61"/>
      <c r="AP30" s="61"/>
      <c r="AQ30" s="49"/>
      <c r="AR30" s="61"/>
      <c r="AS30" s="61"/>
      <c r="AT30" s="61"/>
      <c r="AU30" s="49"/>
      <c r="AV30" s="61"/>
      <c r="AW30" s="61"/>
      <c r="AX30" s="61"/>
      <c r="AY30" s="49"/>
      <c r="AZ30" s="61"/>
      <c r="BA30" s="61"/>
    </row>
    <row r="31" spans="1:53" s="62" customFormat="1" x14ac:dyDescent="0.25">
      <c r="A31" s="38"/>
      <c r="B31" s="25"/>
      <c r="C31" s="49"/>
      <c r="D31" s="25"/>
      <c r="E31" s="25"/>
      <c r="F31" s="25"/>
      <c r="G31" s="49"/>
      <c r="H31" s="25"/>
      <c r="I31" s="25"/>
      <c r="J31" s="25"/>
      <c r="K31" s="49"/>
      <c r="L31" s="25"/>
      <c r="M31" s="25"/>
      <c r="N31" s="25"/>
      <c r="O31" s="49"/>
      <c r="P31" s="25"/>
      <c r="Q31" s="25"/>
      <c r="R31" s="25"/>
      <c r="S31" s="49"/>
      <c r="T31" s="25"/>
      <c r="U31" s="25"/>
      <c r="V31" s="25"/>
      <c r="W31" s="49"/>
      <c r="X31" s="25"/>
      <c r="Y31" s="25"/>
      <c r="Z31" s="25"/>
      <c r="AA31" s="49"/>
      <c r="AB31" s="25"/>
      <c r="AC31" s="25"/>
      <c r="AD31" s="25"/>
      <c r="AE31" s="49"/>
      <c r="AF31" s="25"/>
      <c r="AG31" s="25"/>
      <c r="AH31" s="25"/>
      <c r="AI31" s="49"/>
      <c r="AJ31" s="25"/>
      <c r="AK31" s="25"/>
      <c r="AL31" s="25"/>
      <c r="AM31" s="49"/>
      <c r="AN31" s="25"/>
      <c r="AO31" s="25"/>
      <c r="AP31" s="25"/>
      <c r="AQ31" s="49"/>
      <c r="AR31" s="25"/>
      <c r="AS31" s="25"/>
      <c r="AT31" s="25"/>
      <c r="AU31" s="49"/>
      <c r="AV31" s="25"/>
      <c r="AW31" s="25"/>
      <c r="AX31" s="25"/>
      <c r="AY31" s="49"/>
      <c r="AZ31" s="25"/>
      <c r="BA31" s="25"/>
    </row>
    <row r="32" spans="1:53" s="62" customFormat="1" x14ac:dyDescent="0.25">
      <c r="A32" s="31"/>
      <c r="B32" s="61"/>
      <c r="C32" s="49"/>
      <c r="D32" s="61"/>
      <c r="E32" s="61"/>
      <c r="F32" s="61"/>
      <c r="G32" s="49"/>
      <c r="H32" s="61"/>
      <c r="I32" s="61"/>
      <c r="J32" s="61"/>
      <c r="K32" s="49"/>
      <c r="L32" s="61"/>
      <c r="M32" s="61"/>
      <c r="N32" s="61"/>
      <c r="O32" s="49"/>
      <c r="P32" s="61"/>
      <c r="Q32" s="61"/>
      <c r="R32" s="61"/>
      <c r="S32" s="49"/>
      <c r="T32" s="61"/>
      <c r="U32" s="61"/>
      <c r="V32" s="61"/>
      <c r="W32" s="49"/>
      <c r="X32" s="61"/>
      <c r="Y32" s="61"/>
      <c r="Z32" s="61"/>
      <c r="AA32" s="49"/>
      <c r="AB32" s="61"/>
      <c r="AC32" s="61"/>
      <c r="AD32" s="61"/>
      <c r="AE32" s="49"/>
      <c r="AF32" s="61"/>
      <c r="AG32" s="61"/>
      <c r="AH32" s="61"/>
      <c r="AI32" s="49"/>
      <c r="AJ32" s="61"/>
      <c r="AK32" s="61"/>
      <c r="AL32" s="61"/>
      <c r="AM32" s="49"/>
      <c r="AN32" s="61"/>
      <c r="AO32" s="61"/>
      <c r="AP32" s="61"/>
      <c r="AQ32" s="49"/>
      <c r="AR32" s="61"/>
      <c r="AS32" s="61"/>
      <c r="AT32" s="61"/>
      <c r="AU32" s="49"/>
      <c r="AV32" s="61"/>
      <c r="AW32" s="61"/>
      <c r="AX32" s="61"/>
      <c r="AY32" s="49"/>
      <c r="AZ32" s="61"/>
      <c r="BA32" s="61"/>
    </row>
    <row r="33" spans="1:53" s="62" customFormat="1" x14ac:dyDescent="0.25">
      <c r="A33" s="38"/>
      <c r="B33" s="25"/>
      <c r="C33" s="49"/>
      <c r="D33" s="25"/>
      <c r="E33" s="25"/>
      <c r="F33" s="25"/>
      <c r="G33" s="49"/>
      <c r="H33" s="25"/>
      <c r="I33" s="25"/>
      <c r="J33" s="25"/>
      <c r="K33" s="49"/>
      <c r="L33" s="25"/>
      <c r="M33" s="25"/>
      <c r="N33" s="25"/>
      <c r="O33" s="49"/>
      <c r="P33" s="25"/>
      <c r="Q33" s="25"/>
      <c r="R33" s="25"/>
      <c r="S33" s="49"/>
      <c r="T33" s="25"/>
      <c r="U33" s="25"/>
      <c r="V33" s="25"/>
      <c r="W33" s="49"/>
      <c r="X33" s="25"/>
      <c r="Y33" s="25"/>
      <c r="Z33" s="25"/>
      <c r="AA33" s="49"/>
      <c r="AB33" s="25"/>
      <c r="AC33" s="25"/>
      <c r="AD33" s="25"/>
      <c r="AE33" s="49"/>
      <c r="AF33" s="25"/>
      <c r="AG33" s="25"/>
      <c r="AH33" s="25"/>
      <c r="AI33" s="49"/>
      <c r="AJ33" s="25"/>
      <c r="AK33" s="25"/>
      <c r="AL33" s="25"/>
      <c r="AM33" s="49"/>
      <c r="AN33" s="25"/>
      <c r="AO33" s="25"/>
      <c r="AP33" s="25"/>
      <c r="AQ33" s="49"/>
      <c r="AR33" s="25"/>
      <c r="AS33" s="25"/>
      <c r="AT33" s="25"/>
      <c r="AU33" s="49"/>
      <c r="AV33" s="25"/>
      <c r="AW33" s="25"/>
      <c r="AX33" s="25"/>
      <c r="AY33" s="49"/>
      <c r="AZ33" s="25"/>
      <c r="BA33" s="25"/>
    </row>
    <row r="34" spans="1:53" s="62" customFormat="1" x14ac:dyDescent="0.25">
      <c r="A34" s="31"/>
      <c r="B34"/>
      <c r="C34" s="49"/>
      <c r="D34"/>
      <c r="E34"/>
      <c r="F34"/>
      <c r="G34" s="49"/>
      <c r="H34"/>
      <c r="I34"/>
      <c r="J34"/>
      <c r="K34" s="49"/>
      <c r="L34"/>
      <c r="M34"/>
      <c r="N34"/>
      <c r="O34" s="49"/>
      <c r="P34"/>
      <c r="Q34"/>
      <c r="R34"/>
      <c r="S34" s="49"/>
      <c r="T34"/>
      <c r="U34"/>
      <c r="V34"/>
      <c r="W34" s="49"/>
      <c r="X34"/>
      <c r="Y34"/>
      <c r="Z34"/>
      <c r="AA34" s="49"/>
      <c r="AB34"/>
      <c r="AC34"/>
      <c r="AD34"/>
      <c r="AE34" s="49"/>
      <c r="AF34"/>
      <c r="AG34"/>
      <c r="AH34"/>
      <c r="AI34" s="49"/>
      <c r="AJ34"/>
      <c r="AK34"/>
      <c r="AL34"/>
      <c r="AM34" s="49"/>
      <c r="AN34"/>
      <c r="AO34"/>
      <c r="AP34"/>
      <c r="AQ34" s="49"/>
      <c r="AR34"/>
      <c r="AS34"/>
      <c r="AT34"/>
      <c r="AU34" s="49"/>
      <c r="AV34"/>
      <c r="AW34"/>
      <c r="AX34"/>
      <c r="AY34" s="49"/>
      <c r="AZ34"/>
      <c r="BA34"/>
    </row>
    <row r="35" spans="1:53" s="62" customFormat="1" x14ac:dyDescent="0.25">
      <c r="A35" s="38"/>
      <c r="B35" s="25"/>
      <c r="C35" s="49"/>
      <c r="D35" s="25"/>
      <c r="E35" s="25"/>
      <c r="F35" s="25"/>
      <c r="G35" s="49"/>
      <c r="H35" s="25"/>
      <c r="I35" s="25"/>
      <c r="J35" s="25"/>
      <c r="K35" s="49"/>
      <c r="L35" s="25"/>
      <c r="M35" s="25"/>
      <c r="N35" s="25"/>
      <c r="O35" s="49"/>
      <c r="P35" s="25"/>
      <c r="Q35" s="25"/>
      <c r="R35" s="25"/>
      <c r="S35" s="49"/>
      <c r="T35" s="25"/>
      <c r="U35" s="25"/>
      <c r="V35" s="25"/>
      <c r="W35" s="49"/>
      <c r="X35" s="25"/>
      <c r="Y35" s="25"/>
      <c r="Z35" s="25"/>
      <c r="AA35" s="49"/>
      <c r="AB35" s="25"/>
      <c r="AC35" s="25"/>
      <c r="AD35" s="25"/>
      <c r="AE35" s="49"/>
      <c r="AF35" s="25"/>
      <c r="AG35" s="25"/>
      <c r="AH35" s="25"/>
      <c r="AI35" s="49"/>
      <c r="AJ35" s="25"/>
      <c r="AK35" s="25"/>
      <c r="AL35" s="25"/>
      <c r="AM35" s="49"/>
      <c r="AN35" s="25"/>
      <c r="AO35" s="25"/>
      <c r="AP35" s="25"/>
      <c r="AQ35" s="49"/>
      <c r="AR35" s="25"/>
      <c r="AS35" s="25"/>
      <c r="AT35" s="25"/>
      <c r="AU35" s="49"/>
      <c r="AV35" s="25"/>
      <c r="AW35" s="25"/>
      <c r="AX35" s="25"/>
      <c r="AY35" s="49"/>
      <c r="AZ35" s="25"/>
      <c r="BA35" s="25"/>
    </row>
    <row r="36" spans="1:53" s="62" customFormat="1" x14ac:dyDescent="0.25">
      <c r="A36" s="31"/>
      <c r="B36"/>
      <c r="C36" s="49"/>
      <c r="D36"/>
      <c r="E36"/>
      <c r="F36"/>
      <c r="G36" s="49"/>
      <c r="H36"/>
      <c r="I36"/>
      <c r="J36"/>
      <c r="K36" s="49"/>
      <c r="L36"/>
      <c r="M36"/>
      <c r="N36"/>
      <c r="O36" s="49"/>
      <c r="P36"/>
      <c r="Q36"/>
      <c r="R36"/>
      <c r="S36" s="49"/>
      <c r="T36"/>
      <c r="U36"/>
      <c r="V36"/>
      <c r="W36" s="49"/>
      <c r="X36"/>
      <c r="Y36"/>
      <c r="Z36"/>
      <c r="AA36" s="49"/>
      <c r="AB36"/>
      <c r="AC36"/>
      <c r="AD36"/>
      <c r="AE36" s="49"/>
      <c r="AF36"/>
      <c r="AG36"/>
      <c r="AH36"/>
      <c r="AI36" s="49"/>
      <c r="AJ36"/>
      <c r="AK36"/>
      <c r="AL36"/>
      <c r="AM36" s="49"/>
      <c r="AN36"/>
      <c r="AO36"/>
      <c r="AP36"/>
      <c r="AQ36" s="49"/>
      <c r="AR36"/>
      <c r="AS36"/>
      <c r="AT36"/>
      <c r="AU36" s="49"/>
      <c r="AV36"/>
      <c r="AW36"/>
      <c r="AX36"/>
      <c r="AY36" s="49"/>
      <c r="AZ36"/>
      <c r="BA36"/>
    </row>
    <row r="37" spans="1:53" s="62" customFormat="1" x14ac:dyDescent="0.25">
      <c r="A37" s="38"/>
      <c r="B37" s="25"/>
      <c r="C37" s="49"/>
      <c r="D37" s="25"/>
      <c r="E37" s="25"/>
      <c r="F37" s="25"/>
      <c r="G37" s="49"/>
      <c r="H37" s="25"/>
      <c r="I37" s="25"/>
      <c r="J37" s="25"/>
      <c r="K37" s="49"/>
      <c r="L37" s="25"/>
      <c r="M37" s="25"/>
      <c r="N37" s="25"/>
      <c r="O37" s="49"/>
      <c r="P37" s="25"/>
      <c r="Q37" s="25"/>
      <c r="R37" s="25"/>
      <c r="S37" s="49"/>
      <c r="T37" s="25"/>
      <c r="U37" s="25"/>
      <c r="V37" s="25"/>
      <c r="W37" s="49"/>
      <c r="X37" s="25"/>
      <c r="Y37" s="25"/>
      <c r="Z37" s="25"/>
      <c r="AA37" s="49"/>
      <c r="AB37" s="25"/>
      <c r="AC37" s="25"/>
      <c r="AD37" s="25"/>
      <c r="AE37" s="49"/>
      <c r="AF37" s="25"/>
      <c r="AG37" s="25"/>
      <c r="AH37" s="25"/>
      <c r="AI37" s="49"/>
      <c r="AJ37" s="25"/>
      <c r="AK37" s="25"/>
      <c r="AL37" s="25"/>
      <c r="AM37" s="49"/>
      <c r="AN37" s="25"/>
      <c r="AO37" s="25"/>
      <c r="AP37" s="25"/>
      <c r="AQ37" s="49"/>
      <c r="AR37" s="25"/>
      <c r="AS37" s="25"/>
      <c r="AT37" s="25"/>
      <c r="AU37" s="49"/>
      <c r="AV37" s="25"/>
      <c r="AW37" s="25"/>
      <c r="AX37" s="25"/>
      <c r="AY37" s="49"/>
      <c r="AZ37" s="25"/>
      <c r="BA37" s="25"/>
    </row>
    <row r="38" spans="1:53" s="62" customFormat="1" x14ac:dyDescent="0.25">
      <c r="A38" s="31"/>
      <c r="B38"/>
      <c r="C38" s="49"/>
      <c r="D38"/>
      <c r="E38"/>
      <c r="F38"/>
      <c r="G38" s="49"/>
      <c r="H38"/>
      <c r="I38"/>
      <c r="J38"/>
      <c r="K38" s="49"/>
      <c r="L38"/>
      <c r="M38"/>
      <c r="N38"/>
      <c r="O38" s="49"/>
      <c r="P38"/>
      <c r="Q38"/>
      <c r="R38"/>
      <c r="S38" s="49"/>
      <c r="T38"/>
      <c r="U38"/>
      <c r="V38"/>
      <c r="W38" s="49"/>
      <c r="X38"/>
      <c r="Y38"/>
      <c r="Z38"/>
      <c r="AA38" s="49"/>
      <c r="AB38"/>
      <c r="AC38"/>
      <c r="AD38"/>
      <c r="AE38" s="49"/>
      <c r="AF38"/>
      <c r="AG38"/>
      <c r="AH38"/>
      <c r="AI38" s="49"/>
      <c r="AJ38"/>
      <c r="AK38"/>
      <c r="AL38"/>
      <c r="AM38" s="49"/>
      <c r="AN38"/>
      <c r="AO38"/>
      <c r="AP38"/>
      <c r="AQ38" s="49"/>
      <c r="AR38"/>
      <c r="AS38"/>
      <c r="AT38"/>
      <c r="AU38" s="49"/>
      <c r="AV38"/>
      <c r="AW38"/>
      <c r="AX38"/>
      <c r="AY38" s="49"/>
      <c r="AZ38"/>
      <c r="BA38"/>
    </row>
    <row r="39" spans="1:53" s="62" customFormat="1" x14ac:dyDescent="0.25">
      <c r="A39" s="38"/>
      <c r="B39" s="25"/>
      <c r="C39" s="49"/>
      <c r="D39" s="25"/>
      <c r="E39" s="25"/>
      <c r="F39" s="25"/>
      <c r="G39" s="49"/>
      <c r="H39" s="25"/>
      <c r="I39" s="25"/>
      <c r="J39" s="25"/>
      <c r="K39" s="49"/>
      <c r="L39" s="25"/>
      <c r="M39" s="25"/>
      <c r="N39" s="25"/>
      <c r="O39" s="49"/>
      <c r="P39" s="25"/>
      <c r="Q39" s="25"/>
      <c r="R39" s="25"/>
      <c r="S39" s="49"/>
      <c r="T39" s="25"/>
      <c r="U39" s="25"/>
      <c r="V39" s="25"/>
      <c r="W39" s="49"/>
      <c r="X39" s="25"/>
      <c r="Y39" s="25"/>
      <c r="Z39" s="25"/>
      <c r="AA39" s="49"/>
      <c r="AB39" s="25"/>
      <c r="AC39" s="25"/>
      <c r="AD39" s="25"/>
      <c r="AE39" s="49"/>
      <c r="AF39" s="25"/>
      <c r="AG39" s="25"/>
      <c r="AH39" s="25"/>
      <c r="AI39" s="49"/>
      <c r="AJ39" s="25"/>
      <c r="AK39" s="25"/>
      <c r="AL39" s="25"/>
      <c r="AM39" s="49"/>
      <c r="AN39" s="25"/>
      <c r="AO39" s="25"/>
      <c r="AP39" s="25"/>
      <c r="AQ39" s="49"/>
      <c r="AR39" s="25"/>
      <c r="AS39" s="25"/>
      <c r="AT39" s="25"/>
      <c r="AU39" s="49"/>
      <c r="AV39" s="25"/>
      <c r="AW39" s="25"/>
      <c r="AX39" s="25"/>
      <c r="AY39" s="49"/>
      <c r="AZ39" s="25"/>
      <c r="BA39" s="25"/>
    </row>
    <row r="40" spans="1:53" s="62" customFormat="1" x14ac:dyDescent="0.25">
      <c r="A40" s="31"/>
      <c r="B40"/>
      <c r="C40" s="49"/>
      <c r="D40"/>
      <c r="E40"/>
      <c r="F40"/>
      <c r="G40" s="49"/>
      <c r="H40"/>
      <c r="I40"/>
      <c r="J40"/>
      <c r="K40" s="49"/>
      <c r="L40"/>
      <c r="M40"/>
      <c r="N40"/>
      <c r="O40" s="49"/>
      <c r="P40"/>
      <c r="Q40"/>
      <c r="R40"/>
      <c r="S40" s="49"/>
      <c r="T40"/>
      <c r="U40"/>
      <c r="V40"/>
      <c r="W40" s="49"/>
      <c r="X40"/>
      <c r="Y40"/>
      <c r="Z40"/>
      <c r="AA40" s="49"/>
      <c r="AB40"/>
      <c r="AC40"/>
      <c r="AD40"/>
      <c r="AE40" s="49"/>
      <c r="AF40"/>
      <c r="AG40"/>
      <c r="AH40"/>
      <c r="AI40" s="49"/>
      <c r="AJ40"/>
      <c r="AK40"/>
      <c r="AL40"/>
      <c r="AM40" s="49"/>
      <c r="AN40"/>
      <c r="AO40"/>
      <c r="AP40"/>
      <c r="AQ40" s="49"/>
      <c r="AR40"/>
      <c r="AS40"/>
      <c r="AT40"/>
      <c r="AU40" s="49"/>
      <c r="AV40"/>
      <c r="AW40"/>
      <c r="AX40"/>
      <c r="AY40" s="49"/>
      <c r="AZ40"/>
      <c r="BA40"/>
    </row>
    <row r="41" spans="1:53" s="62" customFormat="1" x14ac:dyDescent="0.25">
      <c r="A41" s="38"/>
      <c r="B41" s="25"/>
      <c r="C41" s="49"/>
      <c r="D41" s="25"/>
      <c r="E41" s="25"/>
      <c r="F41" s="25"/>
      <c r="G41" s="49"/>
      <c r="H41" s="25"/>
      <c r="I41" s="25"/>
      <c r="J41" s="25"/>
      <c r="K41" s="49"/>
      <c r="L41" s="25"/>
      <c r="M41" s="25"/>
      <c r="N41" s="25"/>
      <c r="O41" s="49"/>
      <c r="P41" s="25"/>
      <c r="Q41" s="25"/>
      <c r="R41" s="25"/>
      <c r="S41" s="49"/>
      <c r="T41" s="25"/>
      <c r="U41" s="25"/>
      <c r="V41" s="25"/>
      <c r="W41" s="49"/>
      <c r="X41" s="25"/>
      <c r="Y41" s="25"/>
      <c r="Z41" s="25"/>
      <c r="AA41" s="49"/>
      <c r="AB41" s="25"/>
      <c r="AC41" s="25"/>
      <c r="AD41" s="25"/>
      <c r="AE41" s="49"/>
      <c r="AF41" s="25"/>
      <c r="AG41" s="25"/>
      <c r="AH41" s="25"/>
      <c r="AI41" s="49"/>
      <c r="AJ41" s="25"/>
      <c r="AK41" s="25"/>
      <c r="AL41" s="25"/>
      <c r="AM41" s="49"/>
      <c r="AN41" s="25"/>
      <c r="AO41" s="25"/>
      <c r="AP41" s="25"/>
      <c r="AQ41" s="49"/>
      <c r="AR41" s="25"/>
      <c r="AS41" s="25"/>
      <c r="AT41" s="25"/>
      <c r="AU41" s="49"/>
      <c r="AV41" s="25"/>
      <c r="AW41" s="25"/>
      <c r="AX41" s="25"/>
      <c r="AY41" s="49"/>
      <c r="AZ41" s="25"/>
      <c r="BA41" s="25"/>
    </row>
    <row r="42" spans="1:53" s="62" customFormat="1" x14ac:dyDescent="0.25">
      <c r="A42" s="64"/>
      <c r="B42"/>
      <c r="C42" s="49"/>
      <c r="D42"/>
      <c r="E42"/>
      <c r="F42"/>
      <c r="G42" s="49"/>
      <c r="H42"/>
      <c r="I42"/>
      <c r="J42"/>
      <c r="K42" s="49"/>
      <c r="L42"/>
      <c r="M42"/>
      <c r="N42"/>
      <c r="O42" s="49"/>
      <c r="P42"/>
      <c r="Q42"/>
      <c r="R42"/>
      <c r="S42" s="49"/>
      <c r="T42"/>
      <c r="U42"/>
      <c r="V42"/>
      <c r="W42" s="49"/>
      <c r="X42"/>
      <c r="Y42"/>
      <c r="Z42"/>
      <c r="AA42" s="49"/>
      <c r="AB42"/>
      <c r="AC42"/>
      <c r="AD42"/>
      <c r="AE42" s="49"/>
      <c r="AF42"/>
      <c r="AG42"/>
      <c r="AH42"/>
      <c r="AI42" s="49"/>
      <c r="AJ42"/>
      <c r="AK42"/>
      <c r="AL42"/>
      <c r="AM42" s="49"/>
      <c r="AN42"/>
      <c r="AO42"/>
      <c r="AP42"/>
      <c r="AQ42" s="49"/>
      <c r="AR42"/>
      <c r="AS42"/>
      <c r="AT42"/>
      <c r="AU42" s="49"/>
      <c r="AV42"/>
      <c r="AW42"/>
      <c r="AX42"/>
      <c r="AY42" s="49"/>
      <c r="AZ42"/>
      <c r="BA42"/>
    </row>
    <row r="43" spans="1:53" s="62" customFormat="1" x14ac:dyDescent="0.25">
      <c r="A43" s="38"/>
      <c r="B43" s="25"/>
      <c r="C43" s="49"/>
      <c r="D43" s="25"/>
      <c r="E43" s="25"/>
      <c r="F43" s="25"/>
      <c r="G43" s="49"/>
      <c r="H43" s="25"/>
      <c r="I43" s="25"/>
      <c r="J43" s="25"/>
      <c r="K43" s="49"/>
      <c r="L43" s="25"/>
      <c r="M43" s="25"/>
      <c r="N43" s="25"/>
      <c r="O43" s="49"/>
      <c r="P43" s="25"/>
      <c r="Q43" s="25"/>
      <c r="R43" s="25"/>
      <c r="S43" s="49"/>
      <c r="T43" s="25"/>
      <c r="U43" s="25"/>
      <c r="V43" s="25"/>
      <c r="W43" s="49"/>
      <c r="X43" s="25"/>
      <c r="Y43" s="25"/>
      <c r="Z43" s="25"/>
      <c r="AA43" s="49"/>
      <c r="AB43" s="25"/>
      <c r="AC43" s="25"/>
      <c r="AD43" s="25"/>
      <c r="AE43" s="49"/>
      <c r="AF43" s="25"/>
      <c r="AG43" s="25"/>
      <c r="AH43" s="25"/>
      <c r="AI43" s="49"/>
      <c r="AJ43" s="25"/>
      <c r="AK43" s="25"/>
      <c r="AL43" s="25"/>
      <c r="AM43" s="49"/>
      <c r="AN43" s="25"/>
      <c r="AO43" s="25"/>
      <c r="AP43" s="25"/>
      <c r="AQ43" s="49"/>
      <c r="AR43" s="25"/>
      <c r="AS43" s="25"/>
      <c r="AT43" s="25"/>
      <c r="AU43" s="49"/>
      <c r="AV43" s="25"/>
      <c r="AW43" s="25"/>
      <c r="AX43" s="25"/>
      <c r="AY43" s="49"/>
      <c r="AZ43" s="25"/>
      <c r="BA43" s="25"/>
    </row>
    <row r="44" spans="1:53" s="62" customFormat="1" x14ac:dyDescent="0.25">
      <c r="A44" s="31"/>
      <c r="B44"/>
      <c r="C44" s="49"/>
      <c r="D44"/>
      <c r="E44"/>
      <c r="F44"/>
      <c r="G44" s="49"/>
      <c r="H44"/>
      <c r="I44"/>
      <c r="J44"/>
      <c r="K44" s="49"/>
      <c r="L44"/>
      <c r="M44"/>
      <c r="N44"/>
      <c r="O44" s="49"/>
      <c r="P44"/>
      <c r="Q44"/>
      <c r="R44"/>
      <c r="S44" s="49"/>
      <c r="T44"/>
      <c r="U44"/>
      <c r="V44"/>
      <c r="W44" s="49"/>
      <c r="X44"/>
      <c r="Y44"/>
      <c r="Z44"/>
      <c r="AA44" s="49"/>
      <c r="AB44"/>
      <c r="AC44"/>
      <c r="AD44"/>
      <c r="AE44" s="49"/>
      <c r="AF44"/>
      <c r="AG44"/>
      <c r="AH44"/>
      <c r="AI44" s="49"/>
      <c r="AJ44"/>
      <c r="AK44"/>
      <c r="AL44"/>
      <c r="AM44" s="49"/>
      <c r="AN44"/>
      <c r="AO44"/>
      <c r="AP44"/>
      <c r="AQ44" s="49"/>
      <c r="AR44"/>
      <c r="AS44"/>
      <c r="AT44"/>
      <c r="AU44" s="49"/>
      <c r="AV44"/>
      <c r="AW44"/>
      <c r="AX44"/>
      <c r="AY44" s="49"/>
      <c r="AZ44"/>
      <c r="BA44"/>
    </row>
    <row r="45" spans="1:53" s="62" customFormat="1" x14ac:dyDescent="0.25">
      <c r="A45" s="38"/>
      <c r="B45" s="25"/>
      <c r="C45" s="49"/>
      <c r="D45" s="25"/>
      <c r="E45" s="25"/>
      <c r="F45" s="25"/>
      <c r="G45" s="49"/>
      <c r="H45" s="25"/>
      <c r="I45" s="25"/>
      <c r="J45" s="25"/>
      <c r="K45" s="49"/>
      <c r="L45" s="25"/>
      <c r="M45" s="25"/>
      <c r="N45" s="25"/>
      <c r="O45" s="49"/>
      <c r="P45" s="25"/>
      <c r="Q45" s="25"/>
      <c r="R45" s="25"/>
      <c r="S45" s="49"/>
      <c r="T45" s="25"/>
      <c r="U45" s="25"/>
      <c r="V45" s="25"/>
      <c r="W45" s="49"/>
      <c r="X45" s="25"/>
      <c r="Y45" s="25"/>
      <c r="Z45" s="25"/>
      <c r="AA45" s="49"/>
      <c r="AB45" s="25"/>
      <c r="AC45" s="25"/>
      <c r="AD45" s="25"/>
      <c r="AE45" s="49"/>
      <c r="AF45" s="25"/>
      <c r="AG45" s="25"/>
      <c r="AH45" s="25"/>
      <c r="AI45" s="49"/>
      <c r="AJ45" s="25"/>
      <c r="AK45" s="25"/>
      <c r="AL45" s="25"/>
      <c r="AM45" s="49"/>
      <c r="AN45" s="25"/>
      <c r="AO45" s="25"/>
      <c r="AP45" s="25"/>
      <c r="AQ45" s="49"/>
      <c r="AR45" s="25"/>
      <c r="AS45" s="25"/>
      <c r="AT45" s="25"/>
      <c r="AU45" s="49"/>
      <c r="AV45" s="25"/>
      <c r="AW45" s="25"/>
      <c r="AX45" s="25"/>
      <c r="AY45" s="49"/>
      <c r="AZ45" s="25"/>
      <c r="BA45" s="25"/>
    </row>
    <row r="46" spans="1:53" s="62" customFormat="1" x14ac:dyDescent="0.25">
      <c r="A46" s="31"/>
      <c r="B46" s="61"/>
      <c r="C46" s="49"/>
      <c r="D46" s="61"/>
      <c r="E46" s="61"/>
      <c r="F46" s="61"/>
      <c r="G46" s="49"/>
      <c r="H46" s="61"/>
      <c r="I46" s="61"/>
      <c r="J46" s="61"/>
      <c r="K46" s="49"/>
      <c r="L46" s="61"/>
      <c r="M46" s="61"/>
      <c r="N46" s="61"/>
      <c r="O46" s="49"/>
      <c r="P46" s="61"/>
      <c r="Q46" s="61"/>
      <c r="R46" s="61"/>
      <c r="S46" s="49"/>
      <c r="T46" s="61"/>
      <c r="U46" s="61"/>
      <c r="V46" s="61"/>
      <c r="W46" s="49"/>
      <c r="X46" s="61"/>
      <c r="Y46" s="61"/>
      <c r="Z46" s="61"/>
      <c r="AA46" s="49"/>
      <c r="AB46" s="61"/>
      <c r="AC46" s="61"/>
      <c r="AD46" s="61"/>
      <c r="AE46" s="49"/>
      <c r="AF46" s="61"/>
      <c r="AG46" s="61"/>
      <c r="AH46" s="61"/>
      <c r="AI46" s="49"/>
      <c r="AJ46" s="61"/>
      <c r="AK46" s="61"/>
      <c r="AL46" s="61"/>
      <c r="AM46" s="49"/>
      <c r="AN46" s="61"/>
      <c r="AO46" s="61"/>
      <c r="AP46" s="61"/>
      <c r="AQ46" s="49"/>
      <c r="AR46" s="61"/>
      <c r="AS46" s="61"/>
      <c r="AT46" s="61"/>
      <c r="AU46" s="49"/>
      <c r="AV46" s="61"/>
      <c r="AW46" s="61"/>
      <c r="AX46" s="61"/>
      <c r="AY46" s="49"/>
      <c r="AZ46" s="61"/>
      <c r="BA46" s="61"/>
    </row>
    <row r="47" spans="1:53" s="62" customFormat="1" x14ac:dyDescent="0.25">
      <c r="A47" s="38"/>
      <c r="B47" s="25"/>
      <c r="C47" s="49"/>
      <c r="D47" s="25"/>
      <c r="E47" s="25"/>
      <c r="F47" s="25"/>
      <c r="G47" s="49"/>
      <c r="H47" s="25"/>
      <c r="I47" s="25"/>
      <c r="J47" s="25"/>
      <c r="K47" s="49"/>
      <c r="L47" s="25"/>
      <c r="M47" s="25"/>
      <c r="N47" s="25"/>
      <c r="O47" s="49"/>
      <c r="P47" s="25"/>
      <c r="Q47" s="25"/>
      <c r="R47" s="25"/>
      <c r="S47" s="49"/>
      <c r="T47" s="25"/>
      <c r="U47" s="25"/>
      <c r="V47" s="25"/>
      <c r="W47" s="49"/>
      <c r="X47" s="25"/>
      <c r="Y47" s="25"/>
      <c r="Z47" s="25"/>
      <c r="AA47" s="49"/>
      <c r="AB47" s="25"/>
      <c r="AC47" s="25"/>
      <c r="AD47" s="25"/>
      <c r="AE47" s="49"/>
      <c r="AF47" s="25"/>
      <c r="AG47" s="25"/>
      <c r="AH47" s="25"/>
      <c r="AI47" s="49"/>
      <c r="AJ47" s="25"/>
      <c r="AK47" s="25"/>
      <c r="AL47" s="25"/>
      <c r="AM47" s="49"/>
      <c r="AN47" s="25"/>
      <c r="AO47" s="25"/>
      <c r="AP47" s="25"/>
      <c r="AQ47" s="49"/>
      <c r="AR47" s="25"/>
      <c r="AS47" s="25"/>
      <c r="AT47" s="25"/>
      <c r="AU47" s="49"/>
      <c r="AV47" s="25"/>
      <c r="AW47" s="25"/>
      <c r="AX47" s="25"/>
      <c r="AY47" s="49"/>
      <c r="AZ47" s="25"/>
      <c r="BA47" s="25"/>
    </row>
    <row r="48" spans="1:53" s="62" customFormat="1" x14ac:dyDescent="0.25">
      <c r="A48" s="31"/>
      <c r="B48" s="61"/>
      <c r="C48" s="49"/>
      <c r="D48" s="61"/>
      <c r="E48" s="61"/>
      <c r="F48" s="61"/>
      <c r="G48" s="49"/>
      <c r="H48" s="61"/>
      <c r="I48" s="61"/>
      <c r="J48" s="61"/>
      <c r="K48" s="49"/>
      <c r="L48" s="61"/>
      <c r="M48" s="61"/>
      <c r="N48" s="61"/>
      <c r="O48" s="49"/>
      <c r="P48" s="61"/>
      <c r="Q48" s="61"/>
      <c r="R48" s="61"/>
      <c r="S48" s="49"/>
      <c r="T48" s="61"/>
      <c r="U48" s="61"/>
      <c r="V48" s="61"/>
      <c r="W48" s="49"/>
      <c r="X48" s="61"/>
      <c r="Y48" s="61"/>
      <c r="Z48" s="61"/>
      <c r="AA48" s="49"/>
      <c r="AB48" s="61"/>
      <c r="AC48" s="61"/>
      <c r="AD48" s="61"/>
      <c r="AE48" s="49"/>
      <c r="AF48" s="61"/>
      <c r="AG48" s="61"/>
      <c r="AH48" s="61"/>
      <c r="AI48" s="49"/>
      <c r="AJ48" s="61"/>
      <c r="AK48" s="61"/>
      <c r="AL48" s="61"/>
      <c r="AM48" s="49"/>
      <c r="AN48" s="61"/>
      <c r="AO48" s="61"/>
      <c r="AP48" s="61"/>
      <c r="AQ48" s="49"/>
      <c r="AR48" s="61"/>
      <c r="AS48" s="61"/>
      <c r="AT48" s="61"/>
      <c r="AU48" s="49"/>
      <c r="AV48" s="61"/>
      <c r="AW48" s="61"/>
      <c r="AX48" s="61"/>
      <c r="AY48" s="49"/>
      <c r="AZ48" s="61"/>
      <c r="BA48" s="61"/>
    </row>
    <row r="49" spans="1:53" s="62" customFormat="1" x14ac:dyDescent="0.25">
      <c r="A49" s="38"/>
      <c r="B49" s="25"/>
      <c r="C49" s="49"/>
      <c r="D49" s="25"/>
      <c r="E49" s="25"/>
      <c r="F49" s="25"/>
      <c r="G49" s="49"/>
      <c r="H49" s="25"/>
      <c r="I49" s="25"/>
      <c r="J49" s="25"/>
      <c r="K49" s="49"/>
      <c r="L49" s="25"/>
      <c r="M49" s="25"/>
      <c r="N49" s="25"/>
      <c r="O49" s="49"/>
      <c r="P49" s="25"/>
      <c r="Q49" s="25"/>
      <c r="R49" s="25"/>
      <c r="S49" s="49"/>
      <c r="T49" s="25"/>
      <c r="U49" s="25"/>
      <c r="V49" s="25"/>
      <c r="W49" s="49"/>
      <c r="X49" s="25"/>
      <c r="Y49" s="25"/>
      <c r="Z49" s="25"/>
      <c r="AA49" s="49"/>
      <c r="AB49" s="25"/>
      <c r="AC49" s="25"/>
      <c r="AD49" s="25"/>
      <c r="AE49" s="49"/>
      <c r="AF49" s="25"/>
      <c r="AG49" s="25"/>
      <c r="AH49" s="25"/>
      <c r="AI49" s="49"/>
      <c r="AJ49" s="25"/>
      <c r="AK49" s="25"/>
      <c r="AL49" s="25"/>
      <c r="AM49" s="49"/>
      <c r="AN49" s="25"/>
      <c r="AO49" s="25"/>
      <c r="AP49" s="25"/>
      <c r="AQ49" s="49"/>
      <c r="AR49" s="25"/>
      <c r="AS49" s="25"/>
      <c r="AT49" s="25"/>
      <c r="AU49" s="49"/>
      <c r="AV49" s="25"/>
      <c r="AW49" s="25"/>
      <c r="AX49" s="25"/>
      <c r="AY49" s="49"/>
      <c r="AZ49" s="25"/>
      <c r="BA49" s="25"/>
    </row>
    <row r="50" spans="1:53" s="62" customFormat="1" x14ac:dyDescent="0.25">
      <c r="A50" s="31"/>
      <c r="B50" s="61"/>
      <c r="C50" s="49"/>
      <c r="D50" s="61"/>
      <c r="E50" s="61"/>
      <c r="F50" s="61"/>
      <c r="G50" s="49"/>
      <c r="H50" s="61"/>
      <c r="I50" s="61"/>
      <c r="J50" s="61"/>
      <c r="K50" s="49"/>
      <c r="L50" s="61"/>
      <c r="M50" s="61"/>
      <c r="N50" s="61"/>
      <c r="O50" s="49"/>
      <c r="P50" s="61"/>
      <c r="Q50" s="61"/>
      <c r="R50" s="61"/>
      <c r="S50" s="49"/>
      <c r="T50" s="61"/>
      <c r="U50" s="61"/>
      <c r="V50" s="61"/>
      <c r="W50" s="49"/>
      <c r="X50" s="61"/>
      <c r="Y50" s="61"/>
      <c r="Z50" s="61"/>
      <c r="AA50" s="49"/>
      <c r="AB50" s="61"/>
      <c r="AC50" s="61"/>
      <c r="AD50" s="61"/>
      <c r="AE50" s="49"/>
      <c r="AF50" s="61"/>
      <c r="AG50" s="61"/>
      <c r="AH50" s="61"/>
      <c r="AI50" s="49"/>
      <c r="AJ50" s="61"/>
      <c r="AK50" s="61"/>
      <c r="AL50" s="61"/>
      <c r="AM50" s="49"/>
      <c r="AN50" s="61"/>
      <c r="AO50" s="61"/>
      <c r="AP50" s="61"/>
      <c r="AQ50" s="49"/>
      <c r="AR50" s="61"/>
      <c r="AS50" s="61"/>
      <c r="AT50" s="61"/>
      <c r="AU50" s="49"/>
      <c r="AV50" s="61"/>
      <c r="AW50" s="61"/>
      <c r="AX50" s="61"/>
      <c r="AY50" s="49"/>
      <c r="AZ50" s="61"/>
      <c r="BA50" s="61"/>
    </row>
    <row r="51" spans="1:53" s="62" customFormat="1" x14ac:dyDescent="0.25">
      <c r="A51" s="38"/>
      <c r="B51" s="25"/>
      <c r="C51" s="49"/>
      <c r="D51" s="25"/>
      <c r="E51" s="25"/>
      <c r="F51" s="25"/>
      <c r="G51" s="49"/>
      <c r="H51" s="25"/>
      <c r="I51" s="25"/>
      <c r="J51" s="25"/>
      <c r="K51" s="49"/>
      <c r="L51" s="25"/>
      <c r="M51" s="25"/>
      <c r="N51" s="25"/>
      <c r="O51" s="49"/>
      <c r="P51" s="25"/>
      <c r="Q51" s="25"/>
      <c r="R51" s="25"/>
      <c r="S51" s="49"/>
      <c r="T51" s="25"/>
      <c r="U51" s="25"/>
      <c r="V51" s="25"/>
      <c r="W51" s="49"/>
      <c r="X51" s="25"/>
      <c r="Y51" s="25"/>
      <c r="Z51" s="25"/>
      <c r="AA51" s="49"/>
      <c r="AB51" s="25"/>
      <c r="AC51" s="25"/>
      <c r="AD51" s="25"/>
      <c r="AE51" s="49"/>
      <c r="AF51" s="25"/>
      <c r="AG51" s="25"/>
      <c r="AH51" s="25"/>
      <c r="AI51" s="49"/>
      <c r="AJ51" s="25"/>
      <c r="AK51" s="25"/>
      <c r="AL51" s="25"/>
      <c r="AM51" s="49"/>
      <c r="AN51" s="25"/>
      <c r="AO51" s="25"/>
      <c r="AP51" s="25"/>
      <c r="AQ51" s="49"/>
      <c r="AR51" s="25"/>
      <c r="AS51" s="25"/>
      <c r="AT51" s="25"/>
      <c r="AU51" s="49"/>
      <c r="AV51" s="25"/>
      <c r="AW51" s="25"/>
      <c r="AX51" s="25"/>
      <c r="AY51" s="49"/>
      <c r="AZ51" s="25"/>
      <c r="BA51" s="25"/>
    </row>
    <row r="52" spans="1:53" x14ac:dyDescent="0.25">
      <c r="O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</row>
    <row r="53" spans="1:53" x14ac:dyDescent="0.25">
      <c r="K53" s="62"/>
      <c r="L53" s="62"/>
      <c r="M53" s="62"/>
      <c r="N53" s="62"/>
      <c r="O53" s="62"/>
      <c r="P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</row>
    <row r="54" spans="1:53" x14ac:dyDescent="0.25">
      <c r="K54" s="62"/>
      <c r="L54" s="62"/>
      <c r="M54" s="62"/>
      <c r="N54" s="62"/>
      <c r="O54" s="62"/>
      <c r="P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</row>
    <row r="55" spans="1:53" x14ac:dyDescent="0.25">
      <c r="K55" s="62"/>
      <c r="L55" s="62"/>
      <c r="M55" s="62"/>
      <c r="N55" s="62"/>
      <c r="O55" s="62"/>
      <c r="P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</row>
    <row r="56" spans="1:53" x14ac:dyDescent="0.25">
      <c r="K56" s="62"/>
      <c r="L56" s="62"/>
      <c r="M56" s="62"/>
      <c r="N56" s="62"/>
      <c r="O56" s="62"/>
      <c r="P56" s="62"/>
    </row>
    <row r="57" spans="1:53" x14ac:dyDescent="0.25">
      <c r="K57" s="62"/>
      <c r="L57" s="62"/>
      <c r="M57" s="62"/>
      <c r="N57" s="62"/>
      <c r="O57" s="62"/>
      <c r="P57" s="6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bestelltes Materiall</vt:lpstr>
      <vt:lpstr>Leistungsverzeichnis</vt:lpstr>
      <vt:lpstr>Kabel</vt:lpstr>
      <vt:lpstr>TR.3 Kabel 1.OG Teil 1</vt:lpstr>
      <vt:lpstr>TR.3 1.OG Kabel Teil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Hebrock</dc:creator>
  <cp:lastModifiedBy>Andreas Bolich</cp:lastModifiedBy>
  <cp:lastPrinted>2025-07-11T08:13:27Z</cp:lastPrinted>
  <dcterms:created xsi:type="dcterms:W3CDTF">2023-10-21T21:14:15Z</dcterms:created>
  <dcterms:modified xsi:type="dcterms:W3CDTF">2025-11-24T07:15:44Z</dcterms:modified>
</cp:coreProperties>
</file>